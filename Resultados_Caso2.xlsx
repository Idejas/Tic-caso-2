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ergioandressantanacarvajal/Tic-caso-2/"/>
    </mc:Choice>
  </mc:AlternateContent>
  <xr:revisionPtr revIDLastSave="0" documentId="8_{287AE04D-53B6-CF4D-91DB-2B4F246BABA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os" sheetId="1" r:id="rId1"/>
    <sheet name="Graficas" sheetId="2" r:id="rId2"/>
  </sheets>
  <definedNames>
    <definedName name="_xlnm._FilterDatabase" localSheetId="0" hidden="1">Datos!$A$4:$J$85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5" i="1" l="1"/>
  <c r="J85" i="1"/>
  <c r="I85" i="1"/>
  <c r="K84" i="1"/>
  <c r="J84" i="1"/>
  <c r="I84" i="1"/>
  <c r="K83" i="1"/>
  <c r="J83" i="1"/>
  <c r="I83" i="1"/>
  <c r="K82" i="1"/>
  <c r="J82" i="1"/>
  <c r="I82" i="1"/>
  <c r="K81" i="1"/>
  <c r="J81" i="1"/>
  <c r="I81" i="1"/>
  <c r="K80" i="1"/>
  <c r="J80" i="1"/>
  <c r="I80" i="1"/>
  <c r="K79" i="1"/>
  <c r="J79" i="1"/>
  <c r="I79" i="1"/>
  <c r="K78" i="1"/>
  <c r="J78" i="1"/>
  <c r="I78" i="1"/>
  <c r="K77" i="1"/>
  <c r="J77" i="1"/>
  <c r="I77" i="1"/>
  <c r="K76" i="1"/>
  <c r="J76" i="1"/>
  <c r="I76" i="1"/>
  <c r="K75" i="1"/>
  <c r="J75" i="1"/>
  <c r="I75" i="1"/>
  <c r="K74" i="1"/>
  <c r="J74" i="1"/>
  <c r="I74" i="1"/>
  <c r="K73" i="1"/>
  <c r="J73" i="1"/>
  <c r="I73" i="1"/>
  <c r="K72" i="1"/>
  <c r="J72" i="1"/>
  <c r="I72" i="1"/>
  <c r="K71" i="1"/>
  <c r="J71" i="1"/>
  <c r="I71" i="1"/>
  <c r="K70" i="1"/>
  <c r="J70" i="1"/>
  <c r="I70" i="1"/>
  <c r="K69" i="1"/>
  <c r="J69" i="1"/>
  <c r="I69" i="1"/>
  <c r="K68" i="1"/>
  <c r="J68" i="1"/>
  <c r="I68" i="1"/>
  <c r="K67" i="1"/>
  <c r="J67" i="1"/>
  <c r="I67" i="1"/>
  <c r="K66" i="1"/>
  <c r="J66" i="1"/>
  <c r="I66" i="1"/>
  <c r="K65" i="1"/>
  <c r="J65" i="1"/>
  <c r="I65" i="1"/>
  <c r="K64" i="1"/>
  <c r="J64" i="1"/>
  <c r="I64" i="1"/>
  <c r="K63" i="1"/>
  <c r="J63" i="1"/>
  <c r="I63" i="1"/>
  <c r="K62" i="1"/>
  <c r="J62" i="1"/>
  <c r="I62" i="1"/>
  <c r="K61" i="1"/>
  <c r="J61" i="1"/>
  <c r="I61" i="1"/>
  <c r="K60" i="1"/>
  <c r="J60" i="1"/>
  <c r="I60" i="1"/>
  <c r="K59" i="1"/>
  <c r="J59" i="1"/>
  <c r="I59" i="1"/>
  <c r="K58" i="1"/>
  <c r="J58" i="1"/>
  <c r="I58" i="1"/>
  <c r="K57" i="1"/>
  <c r="J57" i="1"/>
  <c r="I57" i="1"/>
  <c r="K56" i="1"/>
  <c r="J56" i="1"/>
  <c r="I56" i="1"/>
  <c r="K55" i="1"/>
  <c r="J55" i="1"/>
  <c r="I55" i="1"/>
  <c r="K54" i="1"/>
  <c r="J54" i="1"/>
  <c r="I54" i="1"/>
  <c r="K53" i="1"/>
  <c r="J53" i="1"/>
  <c r="I53" i="1"/>
  <c r="K52" i="1"/>
  <c r="J52" i="1"/>
  <c r="I52" i="1"/>
  <c r="K51" i="1"/>
  <c r="J51" i="1"/>
  <c r="I51" i="1"/>
  <c r="K50" i="1"/>
  <c r="J50" i="1"/>
  <c r="I50" i="1"/>
  <c r="K49" i="1"/>
  <c r="J49" i="1"/>
  <c r="I49" i="1"/>
  <c r="K48" i="1"/>
  <c r="J48" i="1"/>
  <c r="I48" i="1"/>
  <c r="K47" i="1"/>
  <c r="J47" i="1"/>
  <c r="I47" i="1"/>
  <c r="K46" i="1"/>
  <c r="J46" i="1"/>
  <c r="I46" i="1"/>
  <c r="K45" i="1"/>
  <c r="J45" i="1"/>
  <c r="I45" i="1"/>
  <c r="K44" i="1"/>
  <c r="J44" i="1"/>
  <c r="I44" i="1"/>
  <c r="K43" i="1"/>
  <c r="J43" i="1"/>
  <c r="I43" i="1"/>
  <c r="K42" i="1"/>
  <c r="J42" i="1"/>
  <c r="I42" i="1"/>
  <c r="K41" i="1"/>
  <c r="J41" i="1"/>
  <c r="I41" i="1"/>
  <c r="K40" i="1"/>
  <c r="J40" i="1"/>
  <c r="I40" i="1"/>
  <c r="K39" i="1"/>
  <c r="J39" i="1"/>
  <c r="I39" i="1"/>
  <c r="K38" i="1"/>
  <c r="J38" i="1"/>
  <c r="I38" i="1"/>
  <c r="K37" i="1"/>
  <c r="J37" i="1"/>
  <c r="I37" i="1"/>
  <c r="K36" i="1"/>
  <c r="J36" i="1"/>
  <c r="I36" i="1"/>
  <c r="K35" i="1"/>
  <c r="J35" i="1"/>
  <c r="I35" i="1"/>
  <c r="K34" i="1"/>
  <c r="J34" i="1"/>
  <c r="I34" i="1"/>
  <c r="K33" i="1"/>
  <c r="J33" i="1"/>
  <c r="I33" i="1"/>
  <c r="K32" i="1"/>
  <c r="J32" i="1"/>
  <c r="I32" i="1"/>
  <c r="K31" i="1"/>
  <c r="J31" i="1"/>
  <c r="I31" i="1"/>
  <c r="K30" i="1"/>
  <c r="J30" i="1"/>
  <c r="I30" i="1"/>
  <c r="K29" i="1"/>
  <c r="J29" i="1"/>
  <c r="I29" i="1"/>
  <c r="K28" i="1"/>
  <c r="J28" i="1"/>
  <c r="I28" i="1"/>
  <c r="K27" i="1"/>
  <c r="J27" i="1"/>
  <c r="I27" i="1"/>
  <c r="K26" i="1"/>
  <c r="J26" i="1"/>
  <c r="I26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  <c r="K13" i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D135" i="2"/>
  <c r="C135" i="2"/>
  <c r="B135" i="2"/>
  <c r="D134" i="2"/>
  <c r="C134" i="2"/>
  <c r="B134" i="2"/>
  <c r="D133" i="2"/>
  <c r="C133" i="2"/>
  <c r="B133" i="2"/>
  <c r="D119" i="2"/>
  <c r="C119" i="2"/>
  <c r="B119" i="2"/>
  <c r="D118" i="2"/>
  <c r="C118" i="2"/>
  <c r="B118" i="2"/>
  <c r="D117" i="2"/>
  <c r="C117" i="2"/>
  <c r="B117" i="2"/>
  <c r="D103" i="2"/>
  <c r="C103" i="2"/>
  <c r="B103" i="2"/>
  <c r="D102" i="2"/>
  <c r="C102" i="2"/>
  <c r="B102" i="2"/>
  <c r="D101" i="2"/>
  <c r="C101" i="2"/>
  <c r="B101" i="2"/>
  <c r="D87" i="2"/>
  <c r="C87" i="2"/>
  <c r="B87" i="2"/>
  <c r="D86" i="2"/>
  <c r="C86" i="2"/>
  <c r="B86" i="2"/>
  <c r="D85" i="2"/>
  <c r="C85" i="2"/>
  <c r="B85" i="2"/>
  <c r="D71" i="2"/>
  <c r="C71" i="2"/>
  <c r="B71" i="2"/>
  <c r="D70" i="2"/>
  <c r="C70" i="2"/>
  <c r="B70" i="2"/>
  <c r="D69" i="2"/>
  <c r="C69" i="2"/>
  <c r="B69" i="2"/>
  <c r="D55" i="2"/>
  <c r="C55" i="2"/>
  <c r="B55" i="2"/>
  <c r="D54" i="2"/>
  <c r="C54" i="2"/>
  <c r="B54" i="2"/>
  <c r="D53" i="2"/>
  <c r="C53" i="2"/>
  <c r="B53" i="2"/>
  <c r="D39" i="2"/>
  <c r="C39" i="2"/>
  <c r="B39" i="2"/>
  <c r="D38" i="2"/>
  <c r="C38" i="2"/>
  <c r="B38" i="2"/>
  <c r="D37" i="2"/>
  <c r="C37" i="2"/>
  <c r="B37" i="2"/>
  <c r="D23" i="2"/>
  <c r="C23" i="2"/>
  <c r="B23" i="2"/>
  <c r="D22" i="2"/>
  <c r="C22" i="2"/>
  <c r="B22" i="2"/>
  <c r="D21" i="2"/>
  <c r="C21" i="2"/>
  <c r="B21" i="2"/>
  <c r="D7" i="2"/>
  <c r="C7" i="2"/>
  <c r="B7" i="2"/>
  <c r="D6" i="2"/>
  <c r="C6" i="2"/>
  <c r="B6" i="2"/>
  <c r="D5" i="2"/>
  <c r="C5" i="2"/>
  <c r="B5" i="2"/>
</calcChain>
</file>

<file path=xl/sharedStrings.xml><?xml version="1.0" encoding="utf-8"?>
<sst xmlns="http://schemas.openxmlformats.org/spreadsheetml/2006/main" count="239" uniqueCount="22">
  <si>
    <t>Resultados de la simulación (81 escenarios)</t>
  </si>
  <si>
    <t>Tamaño del vector clave = 142, número de pasadas = 5 (mismos valores del archivo de ejemplo).</t>
  </si>
  <si>
    <t>Escenario</t>
  </si>
  <si>
    <t>Matriz</t>
  </si>
  <si>
    <t>Tamaño página</t>
  </si>
  <si>
    <t>Páginas virtuales (NP)</t>
  </si>
  <si>
    <t>Marcos</t>
  </si>
  <si>
    <t>Política</t>
  </si>
  <si>
    <t>Referencias (NR)</t>
  </si>
  <si>
    <t>Fallas de página</t>
  </si>
  <si>
    <t>Accesos exitosos</t>
  </si>
  <si>
    <t>Tasa de fallas</t>
  </si>
  <si>
    <t>8x8</t>
  </si>
  <si>
    <t>FIFO</t>
  </si>
  <si>
    <t>FIFOModified</t>
  </si>
  <si>
    <t>LRU</t>
  </si>
  <si>
    <t>16x16</t>
  </si>
  <si>
    <t>128x128</t>
  </si>
  <si>
    <t>Fallas de página por número de marcos y política (una gráfica por matriz y tamaño de página)</t>
  </si>
  <si>
    <t>Matriz:</t>
  </si>
  <si>
    <t>Página (B):</t>
  </si>
  <si>
    <t>Tiempo total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</si>
</sst>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%"/>
    <numFmt numFmtId="165" formatCode="0.000000"/>
  </numFmts>
  <fonts count="8" x14ac:knownFonts="1">
    <font>
      <sz val="11"/>
      <color theme="1"/>
      <name val="Calibri"/>
      <family val="2"/>
      <scheme val="minor"/>
    </font>
    <font>
      <i/>
      <sz val="11"/>
      <color rgb="FF595959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4E78"/>
      <name val="Calibri"/>
      <family val="2"/>
    </font>
    <font>
      <b/>
      <sz val="12"/>
      <color rgb="FF1F4E78"/>
      <name val="Calibri"/>
      <family val="2"/>
    </font>
    <font>
      <b/>
      <sz val="12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3F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3" fontId="0" fillId="3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8x8, página 64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Graficas!$B$4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Graficas!$A$5:$A$7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Graficas!$B$5:$B$7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AC0-F545-9491-D75083611773}"/>
            </c:ext>
          </c:extLst>
        </c:ser>
        <c:ser>
          <c:idx val="1"/>
          <c:order val="1"/>
          <c:tx>
            <c:strRef>
              <c:f>Graficas!$C$4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Graficas!$A$5:$A$7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Graficas!$C$5:$C$7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AC0-F545-9491-D75083611773}"/>
            </c:ext>
          </c:extLst>
        </c:ser>
        <c:ser>
          <c:idx val="2"/>
          <c:order val="2"/>
          <c:tx>
            <c:strRef>
              <c:f>Graficas!$D$4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Graficas!$A$5:$A$7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Graficas!$D$5:$D$7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AC0-F545-9491-D75083611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8x8, página 256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Graficas!$B$20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Graficas!$A$21:$A$23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Graficas!$B$21:$B$23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DF-394E-9555-3D759CAE07C6}"/>
            </c:ext>
          </c:extLst>
        </c:ser>
        <c:ser>
          <c:idx val="1"/>
          <c:order val="1"/>
          <c:tx>
            <c:strRef>
              <c:f>Graficas!$C$20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Graficas!$A$21:$A$23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Graficas!$C$21:$C$23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DF-394E-9555-3D759CAE07C6}"/>
            </c:ext>
          </c:extLst>
        </c:ser>
        <c:ser>
          <c:idx val="2"/>
          <c:order val="2"/>
          <c:tx>
            <c:strRef>
              <c:f>Graficas!$D$20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Graficas!$A$21:$A$23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Graficas!$D$21:$D$23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4DF-394E-9555-3D759CAE0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8x8, página 1024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Graficas!$B$36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Graficas!$A$37:$A$39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Graficas!$B$37:$B$39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469-4C44-8D8B-C47A77134774}"/>
            </c:ext>
          </c:extLst>
        </c:ser>
        <c:ser>
          <c:idx val="1"/>
          <c:order val="1"/>
          <c:tx>
            <c:strRef>
              <c:f>Graficas!$C$36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Graficas!$A$37:$A$39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Graficas!$C$37:$C$39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469-4C44-8D8B-C47A77134774}"/>
            </c:ext>
          </c:extLst>
        </c:ser>
        <c:ser>
          <c:idx val="2"/>
          <c:order val="2"/>
          <c:tx>
            <c:strRef>
              <c:f>Graficas!$D$36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Graficas!$A$37:$A$39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Graficas!$D$37:$D$39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469-4C44-8D8B-C47A771347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16x16, página 64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Graficas!$B$52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Graficas!$A$53:$A$55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Graficas!$B$53:$B$55</c:f>
              <c:numCache>
                <c:formatCode>#,##0</c:formatCode>
                <c:ptCount val="3"/>
                <c:pt idx="0">
                  <c:v>425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1EC-2E41-B1FB-9522098E8EEC}"/>
            </c:ext>
          </c:extLst>
        </c:ser>
        <c:ser>
          <c:idx val="1"/>
          <c:order val="1"/>
          <c:tx>
            <c:strRef>
              <c:f>Graficas!$C$52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Graficas!$A$53:$A$55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Graficas!$C$53:$C$55</c:f>
              <c:numCache>
                <c:formatCode>#,##0</c:formatCode>
                <c:ptCount val="3"/>
                <c:pt idx="0">
                  <c:v>341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1EC-2E41-B1FB-9522098E8EEC}"/>
            </c:ext>
          </c:extLst>
        </c:ser>
        <c:ser>
          <c:idx val="2"/>
          <c:order val="2"/>
          <c:tx>
            <c:strRef>
              <c:f>Graficas!$D$52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Graficas!$A$53:$A$55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Graficas!$D$53:$D$55</c:f>
              <c:numCache>
                <c:formatCode>#,##0</c:formatCode>
                <c:ptCount val="3"/>
                <c:pt idx="0">
                  <c:v>341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1EC-2E41-B1FB-9522098E8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16x16, página 256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Graficas!$B$68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Graficas!$A$69:$A$71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Graficas!$B$69:$B$71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FD-094B-82C2-3EAA137D6009}"/>
            </c:ext>
          </c:extLst>
        </c:ser>
        <c:ser>
          <c:idx val="1"/>
          <c:order val="1"/>
          <c:tx>
            <c:strRef>
              <c:f>Graficas!$C$68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Graficas!$A$69:$A$71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Graficas!$C$69:$C$71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5FD-094B-82C2-3EAA137D6009}"/>
            </c:ext>
          </c:extLst>
        </c:ser>
        <c:ser>
          <c:idx val="2"/>
          <c:order val="2"/>
          <c:tx>
            <c:strRef>
              <c:f>Graficas!$D$68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Graficas!$A$69:$A$71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Graficas!$D$69:$D$71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5FD-094B-82C2-3EAA137D6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16x16, página 1024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Graficas!$B$84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Graficas!$A$85:$A$87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Graficas!$B$85:$B$87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CE-2F44-B6A0-9FD9A0715942}"/>
            </c:ext>
          </c:extLst>
        </c:ser>
        <c:ser>
          <c:idx val="1"/>
          <c:order val="1"/>
          <c:tx>
            <c:strRef>
              <c:f>Graficas!$C$84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Graficas!$A$85:$A$87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Graficas!$C$85:$C$87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8CE-2F44-B6A0-9FD9A0715942}"/>
            </c:ext>
          </c:extLst>
        </c:ser>
        <c:ser>
          <c:idx val="2"/>
          <c:order val="2"/>
          <c:tx>
            <c:strRef>
              <c:f>Graficas!$D$84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Graficas!$A$85:$A$87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Graficas!$D$85:$D$87</c:f>
              <c:numCache>
                <c:formatCode>#,##0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8CE-2F44-B6A0-9FD9A0715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"/>
          <c:min val="0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  <c:majorUnit val="1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128x128, página 64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Graficas!$B$100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Graficas!$A$101:$A$103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Graficas!$B$101:$B$103</c:f>
              <c:numCache>
                <c:formatCode>#,##0</c:formatCode>
                <c:ptCount val="3"/>
                <c:pt idx="0">
                  <c:v>104320</c:v>
                </c:pt>
                <c:pt idx="1">
                  <c:v>93760</c:v>
                </c:pt>
                <c:pt idx="2">
                  <c:v>88480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D39-5443-A875-FA4C6BF0A6FC}"/>
            </c:ext>
          </c:extLst>
        </c:ser>
        <c:ser>
          <c:idx val="1"/>
          <c:order val="1"/>
          <c:tx>
            <c:strRef>
              <c:f>Graficas!$C$100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Graficas!$A$101:$A$103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Graficas!$C$101:$C$103</c:f>
              <c:numCache>
                <c:formatCode>#,##0</c:formatCode>
                <c:ptCount val="3"/>
                <c:pt idx="0">
                  <c:v>85760</c:v>
                </c:pt>
                <c:pt idx="1">
                  <c:v>84481</c:v>
                </c:pt>
                <c:pt idx="2">
                  <c:v>84481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D39-5443-A875-FA4C6BF0A6FC}"/>
            </c:ext>
          </c:extLst>
        </c:ser>
        <c:ser>
          <c:idx val="2"/>
          <c:order val="2"/>
          <c:tx>
            <c:strRef>
              <c:f>Graficas!$D$100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Graficas!$A$101:$A$103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Graficas!$D$101:$D$103</c:f>
              <c:numCache>
                <c:formatCode>#,##0</c:formatCode>
                <c:ptCount val="3"/>
                <c:pt idx="0">
                  <c:v>85760</c:v>
                </c:pt>
                <c:pt idx="1">
                  <c:v>84481</c:v>
                </c:pt>
                <c:pt idx="2">
                  <c:v>84481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D39-5443-A875-FA4C6BF0A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128x128, página 256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Graficas!$B$116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Graficas!$A$117:$A$119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Graficas!$B$117:$B$119</c:f>
              <c:numCache>
                <c:formatCode>#,##0</c:formatCode>
                <c:ptCount val="3"/>
                <c:pt idx="0">
                  <c:v>51600</c:v>
                </c:pt>
                <c:pt idx="1">
                  <c:v>46440</c:v>
                </c:pt>
                <c:pt idx="2">
                  <c:v>43860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BF6-AA4A-BF2F-657E3F1185FC}"/>
            </c:ext>
          </c:extLst>
        </c:ser>
        <c:ser>
          <c:idx val="1"/>
          <c:order val="1"/>
          <c:tx>
            <c:strRef>
              <c:f>Graficas!$C$116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Graficas!$A$117:$A$119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Graficas!$C$117:$C$119</c:f>
              <c:numCache>
                <c:formatCode>#,##0</c:formatCode>
                <c:ptCount val="3"/>
                <c:pt idx="0">
                  <c:v>41281</c:v>
                </c:pt>
                <c:pt idx="1">
                  <c:v>41281</c:v>
                </c:pt>
                <c:pt idx="2">
                  <c:v>41281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BF6-AA4A-BF2F-657E3F1185FC}"/>
            </c:ext>
          </c:extLst>
        </c:ser>
        <c:ser>
          <c:idx val="2"/>
          <c:order val="2"/>
          <c:tx>
            <c:strRef>
              <c:f>Graficas!$D$116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Graficas!$A$117:$A$119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Graficas!$D$117:$D$119</c:f>
              <c:numCache>
                <c:formatCode>#,##0</c:formatCode>
                <c:ptCount val="3"/>
                <c:pt idx="0">
                  <c:v>41281</c:v>
                </c:pt>
                <c:pt idx="1">
                  <c:v>41281</c:v>
                </c:pt>
                <c:pt idx="2">
                  <c:v>41281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BF6-AA4A-BF2F-657E3F118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F4E78"/>
                </a:solidFill>
              </a:defRPr>
            </a:pPr>
            <a:r>
              <a:rPr lang="en-US"/>
              <a:t>Matriz 128x128, página 1024 B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500000000000003"/>
          <c:y val="0.18"/>
          <c:w val="0.84166666666666667"/>
          <c:h val="0.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Graficas!$B$132</c:f>
              <c:strCache>
                <c:ptCount val="1"/>
                <c:pt idx="0">
                  <c:v>FIFO</c:v>
                </c:pt>
              </c:strCache>
            </c:strRef>
          </c:tx>
          <c:spPr>
            <a:solidFill>
              <a:srgbClr val="1F4E78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Graficas!$A$133:$A$135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Graficas!$B$133:$B$135</c:f>
              <c:numCache>
                <c:formatCode>#,##0</c:formatCode>
                <c:ptCount val="3"/>
                <c:pt idx="0">
                  <c:v>12900</c:v>
                </c:pt>
                <c:pt idx="1">
                  <c:v>11610</c:v>
                </c:pt>
                <c:pt idx="2">
                  <c:v>10965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F6-9D4A-81A0-6714653079EB}"/>
            </c:ext>
          </c:extLst>
        </c:ser>
        <c:ser>
          <c:idx val="1"/>
          <c:order val="1"/>
          <c:tx>
            <c:strRef>
              <c:f>Graficas!$C$132</c:f>
              <c:strCache>
                <c:ptCount val="1"/>
                <c:pt idx="0">
                  <c:v>FIFOModified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Graficas!$A$133:$A$135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Graficas!$C$133:$C$135</c:f>
              <c:numCache>
                <c:formatCode>#,##0</c:formatCode>
                <c:ptCount val="3"/>
                <c:pt idx="0">
                  <c:v>10321</c:v>
                </c:pt>
                <c:pt idx="1">
                  <c:v>10321</c:v>
                </c:pt>
                <c:pt idx="2">
                  <c:v>10321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F6-9D4A-81A0-6714653079EB}"/>
            </c:ext>
          </c:extLst>
        </c:ser>
        <c:ser>
          <c:idx val="2"/>
          <c:order val="2"/>
          <c:tx>
            <c:strRef>
              <c:f>Graficas!$D$132</c:f>
              <c:strCache>
                <c:ptCount val="1"/>
                <c:pt idx="0">
                  <c:v>LRU</c:v>
                </c:pt>
              </c:strCache>
            </c:strRef>
          </c:tx>
          <c:spPr>
            <a:solidFill>
              <a:srgbClr val="70AD47"/>
            </a:solidFill>
            <a:ln>
              <a:prstDash val="solid"/>
            </a:ln>
          </c:spPr>
          <c:invertIfNegative val="1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en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Graficas!$A$133:$A$135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16</c:v>
                </c:pt>
              </c:numCache>
            </c:numRef>
          </c:cat>
          <c:val>
            <c:numRef>
              <c:f>Graficas!$D$133:$D$135</c:f>
              <c:numCache>
                <c:formatCode>#,##0</c:formatCode>
                <c:ptCount val="3"/>
                <c:pt idx="0">
                  <c:v>10321</c:v>
                </c:pt>
                <c:pt idx="1">
                  <c:v>10321</c:v>
                </c:pt>
                <c:pt idx="2">
                  <c:v>10321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AF6-9D4A-81A0-671465307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US"/>
                  <a:t>Número de marcos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1100"/>
                </a:pPr>
                <a:r>
                  <a:rPr lang="en-US"/>
                  <a:t>Fallas de página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1000"/>
            </a:pPr>
            <a:endParaRPr lang="en-CO"/>
          </a:p>
        </c:txPr>
        <c:crossAx val="1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0"/>
          </a:pPr>
          <a:endParaRPr lang="en-CO"/>
        </a:p>
      </c:txPr>
    </c:legend>
    <c:plotVisOnly val="1"/>
    <c:dispBlanksAs val="gap"/>
    <c:showDLblsOverMax val="1"/>
  </c:chart>
  <c:spPr>
    <a:ln>
      <a:solidFill>
        <a:srgbClr val="BFBFBF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620000" cy="3175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18</xdr:row>
      <xdr:rowOff>0</xdr:rowOff>
    </xdr:from>
    <xdr:ext cx="7620000" cy="3175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7620000" cy="3175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5</xdr:col>
      <xdr:colOff>0</xdr:colOff>
      <xdr:row>50</xdr:row>
      <xdr:rowOff>0</xdr:rowOff>
    </xdr:from>
    <xdr:ext cx="7620000" cy="3175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66</xdr:row>
      <xdr:rowOff>0</xdr:rowOff>
    </xdr:from>
    <xdr:ext cx="7620000" cy="3175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5</xdr:col>
      <xdr:colOff>0</xdr:colOff>
      <xdr:row>82</xdr:row>
      <xdr:rowOff>0</xdr:rowOff>
    </xdr:from>
    <xdr:ext cx="7620000" cy="3175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98</xdr:row>
      <xdr:rowOff>0</xdr:rowOff>
    </xdr:from>
    <xdr:ext cx="7620000" cy="3175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5</xdr:col>
      <xdr:colOff>0</xdr:colOff>
      <xdr:row>114</xdr:row>
      <xdr:rowOff>0</xdr:rowOff>
    </xdr:from>
    <xdr:ext cx="7620000" cy="3175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130</xdr:row>
      <xdr:rowOff>0</xdr:rowOff>
    </xdr:from>
    <xdr:ext cx="7620000" cy="3175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0EB154-3225-024C-AF8E-824338D0AC4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289f0b9-676b-44e5-8d82-8f23b40a9980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showGridLines="0" tabSelected="1" topLeftCell="B1" workbookViewId="0">
      <pane ySplit="4" topLeftCell="A5" activePane="bottomLeft" state="frozen"/>
      <selection pane="bottomLeft" activeCell="K7" sqref="K7"/>
    </sheetView>
  </sheetViews>
  <sheetFormatPr baseColWidth="10" defaultColWidth="8.83203125" defaultRowHeight="15" x14ac:dyDescent="0.2"/>
  <cols>
    <col min="1" max="2" width="11.6640625" customWidth="1"/>
    <col min="3" max="3" width="13.33203125" customWidth="1"/>
    <col min="4" max="4" width="15" customWidth="1"/>
    <col min="5" max="5" width="10.83203125" customWidth="1"/>
    <col min="6" max="6" width="17.5" customWidth="1"/>
    <col min="7" max="7" width="15.83203125" customWidth="1"/>
    <col min="8" max="8" width="14.1640625" customWidth="1"/>
    <col min="9" max="9" width="15" customWidth="1"/>
    <col min="10" max="10" width="14.1640625" customWidth="1"/>
    <col min="11" max="11" width="16" customWidth="1"/>
  </cols>
  <sheetData>
    <row r="1" spans="1:11" ht="24" customHeight="1" x14ac:dyDescent="0.25">
      <c r="A1" s="4" t="s">
        <v>0</v>
      </c>
    </row>
    <row r="2" spans="1:11" x14ac:dyDescent="0.2">
      <c r="A2" s="1" t="s">
        <v>1</v>
      </c>
    </row>
    <row r="4" spans="1:11" ht="34" customHeight="1" x14ac:dyDescent="0.2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21</v>
      </c>
    </row>
    <row r="5" spans="1:11" ht="18" customHeight="1" x14ac:dyDescent="0.2">
      <c r="A5" s="6">
        <v>1</v>
      </c>
      <c r="B5" s="6" t="s">
        <v>12</v>
      </c>
      <c r="C5" s="6">
        <v>64</v>
      </c>
      <c r="D5" s="6">
        <v>4</v>
      </c>
      <c r="E5" s="6">
        <v>4</v>
      </c>
      <c r="F5" s="6" t="s">
        <v>13</v>
      </c>
      <c r="G5" s="3">
        <v>1920</v>
      </c>
      <c r="H5" s="29">
        <v>2</v>
      </c>
      <c r="I5" s="3">
        <f t="shared" ref="I5:I36" si="0">G5-H5</f>
        <v>1918</v>
      </c>
      <c r="J5" s="7">
        <f t="shared" ref="J5:J36" si="1">H5/G5</f>
        <v>1.0416666666666667E-3</v>
      </c>
      <c r="K5" s="43">
        <f t="shared" ref="K5:K36" si="2">G5*0.0000001+H5*0.008</f>
        <v>1.6192000000000002E-2</v>
      </c>
    </row>
    <row r="6" spans="1:11" ht="18" customHeight="1" x14ac:dyDescent="0.2">
      <c r="A6" s="6">
        <v>2</v>
      </c>
      <c r="B6" s="6" t="s">
        <v>12</v>
      </c>
      <c r="C6" s="6">
        <v>64</v>
      </c>
      <c r="D6" s="6">
        <v>4</v>
      </c>
      <c r="E6" s="6">
        <v>4</v>
      </c>
      <c r="F6" s="6" t="s">
        <v>14</v>
      </c>
      <c r="G6" s="3">
        <v>1920</v>
      </c>
      <c r="H6" s="29">
        <v>2</v>
      </c>
      <c r="I6" s="3">
        <f t="shared" si="0"/>
        <v>1918</v>
      </c>
      <c r="J6" s="7">
        <f t="shared" si="1"/>
        <v>1.0416666666666667E-3</v>
      </c>
      <c r="K6" s="43">
        <f t="shared" si="2"/>
        <v>1.6192000000000002E-2</v>
      </c>
    </row>
    <row r="7" spans="1:11" ht="18" customHeight="1" x14ac:dyDescent="0.2">
      <c r="A7" s="6">
        <v>3</v>
      </c>
      <c r="B7" s="6" t="s">
        <v>12</v>
      </c>
      <c r="C7" s="6">
        <v>64</v>
      </c>
      <c r="D7" s="6">
        <v>4</v>
      </c>
      <c r="E7" s="6">
        <v>4</v>
      </c>
      <c r="F7" s="6" t="s">
        <v>15</v>
      </c>
      <c r="G7" s="3">
        <v>1920</v>
      </c>
      <c r="H7" s="29">
        <v>2</v>
      </c>
      <c r="I7" s="3">
        <f t="shared" si="0"/>
        <v>1918</v>
      </c>
      <c r="J7" s="7">
        <f t="shared" si="1"/>
        <v>1.0416666666666667E-3</v>
      </c>
      <c r="K7" s="43">
        <f t="shared" si="2"/>
        <v>1.6192000000000002E-2</v>
      </c>
    </row>
    <row r="8" spans="1:11" ht="18" customHeight="1" x14ac:dyDescent="0.2">
      <c r="A8" s="8">
        <v>4</v>
      </c>
      <c r="B8" s="8" t="s">
        <v>12</v>
      </c>
      <c r="C8" s="8">
        <v>64</v>
      </c>
      <c r="D8" s="8">
        <v>4</v>
      </c>
      <c r="E8" s="8">
        <v>8</v>
      </c>
      <c r="F8" s="8" t="s">
        <v>13</v>
      </c>
      <c r="G8" s="9">
        <v>1920</v>
      </c>
      <c r="H8" s="30">
        <v>2</v>
      </c>
      <c r="I8" s="9">
        <f t="shared" si="0"/>
        <v>1918</v>
      </c>
      <c r="J8" s="10">
        <f t="shared" si="1"/>
        <v>1.0416666666666667E-3</v>
      </c>
      <c r="K8" s="43">
        <f t="shared" si="2"/>
        <v>1.6192000000000002E-2</v>
      </c>
    </row>
    <row r="9" spans="1:11" ht="18" customHeight="1" x14ac:dyDescent="0.2">
      <c r="A9" s="8">
        <v>5</v>
      </c>
      <c r="B9" s="8" t="s">
        <v>12</v>
      </c>
      <c r="C9" s="8">
        <v>64</v>
      </c>
      <c r="D9" s="8">
        <v>4</v>
      </c>
      <c r="E9" s="8">
        <v>8</v>
      </c>
      <c r="F9" s="8" t="s">
        <v>14</v>
      </c>
      <c r="G9" s="9">
        <v>1920</v>
      </c>
      <c r="H9" s="30">
        <v>2</v>
      </c>
      <c r="I9" s="9">
        <f t="shared" si="0"/>
        <v>1918</v>
      </c>
      <c r="J9" s="10">
        <f t="shared" si="1"/>
        <v>1.0416666666666667E-3</v>
      </c>
      <c r="K9" s="43">
        <f t="shared" si="2"/>
        <v>1.6192000000000002E-2</v>
      </c>
    </row>
    <row r="10" spans="1:11" ht="18" customHeight="1" x14ac:dyDescent="0.2">
      <c r="A10" s="8">
        <v>6</v>
      </c>
      <c r="B10" s="8" t="s">
        <v>12</v>
      </c>
      <c r="C10" s="8">
        <v>64</v>
      </c>
      <c r="D10" s="8">
        <v>4</v>
      </c>
      <c r="E10" s="8">
        <v>8</v>
      </c>
      <c r="F10" s="8" t="s">
        <v>15</v>
      </c>
      <c r="G10" s="9">
        <v>1920</v>
      </c>
      <c r="H10" s="30">
        <v>2</v>
      </c>
      <c r="I10" s="9">
        <f t="shared" si="0"/>
        <v>1918</v>
      </c>
      <c r="J10" s="10">
        <f t="shared" si="1"/>
        <v>1.0416666666666667E-3</v>
      </c>
      <c r="K10" s="43">
        <f t="shared" si="2"/>
        <v>1.6192000000000002E-2</v>
      </c>
    </row>
    <row r="11" spans="1:11" ht="18" customHeight="1" x14ac:dyDescent="0.2">
      <c r="A11" s="6">
        <v>7</v>
      </c>
      <c r="B11" s="6" t="s">
        <v>12</v>
      </c>
      <c r="C11" s="6">
        <v>64</v>
      </c>
      <c r="D11" s="6">
        <v>4</v>
      </c>
      <c r="E11" s="6">
        <v>16</v>
      </c>
      <c r="F11" s="6" t="s">
        <v>13</v>
      </c>
      <c r="G11" s="3">
        <v>1920</v>
      </c>
      <c r="H11" s="29">
        <v>2</v>
      </c>
      <c r="I11" s="3">
        <f t="shared" si="0"/>
        <v>1918</v>
      </c>
      <c r="J11" s="7">
        <f t="shared" si="1"/>
        <v>1.0416666666666667E-3</v>
      </c>
      <c r="K11" s="43">
        <f t="shared" si="2"/>
        <v>1.6192000000000002E-2</v>
      </c>
    </row>
    <row r="12" spans="1:11" ht="18" customHeight="1" x14ac:dyDescent="0.2">
      <c r="A12" s="6">
        <v>8</v>
      </c>
      <c r="B12" s="6" t="s">
        <v>12</v>
      </c>
      <c r="C12" s="6">
        <v>64</v>
      </c>
      <c r="D12" s="6">
        <v>4</v>
      </c>
      <c r="E12" s="6">
        <v>16</v>
      </c>
      <c r="F12" s="6" t="s">
        <v>14</v>
      </c>
      <c r="G12" s="3">
        <v>1920</v>
      </c>
      <c r="H12" s="29">
        <v>2</v>
      </c>
      <c r="I12" s="3">
        <f t="shared" si="0"/>
        <v>1918</v>
      </c>
      <c r="J12" s="7">
        <f t="shared" si="1"/>
        <v>1.0416666666666667E-3</v>
      </c>
      <c r="K12" s="43">
        <f t="shared" si="2"/>
        <v>1.6192000000000002E-2</v>
      </c>
    </row>
    <row r="13" spans="1:11" ht="18" customHeight="1" x14ac:dyDescent="0.2">
      <c r="A13" s="6">
        <v>9</v>
      </c>
      <c r="B13" s="6" t="s">
        <v>12</v>
      </c>
      <c r="C13" s="6">
        <v>64</v>
      </c>
      <c r="D13" s="6">
        <v>4</v>
      </c>
      <c r="E13" s="6">
        <v>16</v>
      </c>
      <c r="F13" s="6" t="s">
        <v>15</v>
      </c>
      <c r="G13" s="3">
        <v>1920</v>
      </c>
      <c r="H13" s="29">
        <v>2</v>
      </c>
      <c r="I13" s="3">
        <f t="shared" si="0"/>
        <v>1918</v>
      </c>
      <c r="J13" s="7">
        <f t="shared" si="1"/>
        <v>1.0416666666666667E-3</v>
      </c>
      <c r="K13" s="43">
        <f t="shared" si="2"/>
        <v>1.6192000000000002E-2</v>
      </c>
    </row>
    <row r="14" spans="1:11" ht="18" customHeight="1" x14ac:dyDescent="0.2">
      <c r="A14" s="8">
        <v>10</v>
      </c>
      <c r="B14" s="8" t="s">
        <v>12</v>
      </c>
      <c r="C14" s="8">
        <v>256</v>
      </c>
      <c r="D14" s="8">
        <v>1</v>
      </c>
      <c r="E14" s="8">
        <v>4</v>
      </c>
      <c r="F14" s="8" t="s">
        <v>13</v>
      </c>
      <c r="G14" s="9">
        <v>1920</v>
      </c>
      <c r="H14" s="30">
        <v>1</v>
      </c>
      <c r="I14" s="9">
        <f t="shared" si="0"/>
        <v>1919</v>
      </c>
      <c r="J14" s="10">
        <f t="shared" si="1"/>
        <v>5.2083333333333333E-4</v>
      </c>
      <c r="K14" s="43">
        <f t="shared" si="2"/>
        <v>8.1919999999999996E-3</v>
      </c>
    </row>
    <row r="15" spans="1:11" ht="18" customHeight="1" x14ac:dyDescent="0.2">
      <c r="A15" s="8">
        <v>11</v>
      </c>
      <c r="B15" s="8" t="s">
        <v>12</v>
      </c>
      <c r="C15" s="8">
        <v>256</v>
      </c>
      <c r="D15" s="8">
        <v>1</v>
      </c>
      <c r="E15" s="8">
        <v>4</v>
      </c>
      <c r="F15" s="8" t="s">
        <v>14</v>
      </c>
      <c r="G15" s="9">
        <v>1920</v>
      </c>
      <c r="H15" s="30">
        <v>1</v>
      </c>
      <c r="I15" s="9">
        <f t="shared" si="0"/>
        <v>1919</v>
      </c>
      <c r="J15" s="10">
        <f t="shared" si="1"/>
        <v>5.2083333333333333E-4</v>
      </c>
      <c r="K15" s="43">
        <f t="shared" si="2"/>
        <v>8.1919999999999996E-3</v>
      </c>
    </row>
    <row r="16" spans="1:11" ht="18" customHeight="1" x14ac:dyDescent="0.2">
      <c r="A16" s="8">
        <v>12</v>
      </c>
      <c r="B16" s="8" t="s">
        <v>12</v>
      </c>
      <c r="C16" s="8">
        <v>256</v>
      </c>
      <c r="D16" s="8">
        <v>1</v>
      </c>
      <c r="E16" s="8">
        <v>4</v>
      </c>
      <c r="F16" s="8" t="s">
        <v>15</v>
      </c>
      <c r="G16" s="9">
        <v>1920</v>
      </c>
      <c r="H16" s="30">
        <v>1</v>
      </c>
      <c r="I16" s="9">
        <f t="shared" si="0"/>
        <v>1919</v>
      </c>
      <c r="J16" s="10">
        <f t="shared" si="1"/>
        <v>5.2083333333333333E-4</v>
      </c>
      <c r="K16" s="43">
        <f t="shared" si="2"/>
        <v>8.1919999999999996E-3</v>
      </c>
    </row>
    <row r="17" spans="1:11" ht="18" customHeight="1" x14ac:dyDescent="0.2">
      <c r="A17" s="6">
        <v>13</v>
      </c>
      <c r="B17" s="6" t="s">
        <v>12</v>
      </c>
      <c r="C17" s="6">
        <v>256</v>
      </c>
      <c r="D17" s="6">
        <v>1</v>
      </c>
      <c r="E17" s="6">
        <v>8</v>
      </c>
      <c r="F17" s="6" t="s">
        <v>13</v>
      </c>
      <c r="G17" s="3">
        <v>1920</v>
      </c>
      <c r="H17" s="29">
        <v>1</v>
      </c>
      <c r="I17" s="3">
        <f t="shared" si="0"/>
        <v>1919</v>
      </c>
      <c r="J17" s="7">
        <f t="shared" si="1"/>
        <v>5.2083333333333333E-4</v>
      </c>
      <c r="K17" s="43">
        <f t="shared" si="2"/>
        <v>8.1919999999999996E-3</v>
      </c>
    </row>
    <row r="18" spans="1:11" ht="18" customHeight="1" x14ac:dyDescent="0.2">
      <c r="A18" s="6">
        <v>14</v>
      </c>
      <c r="B18" s="6" t="s">
        <v>12</v>
      </c>
      <c r="C18" s="6">
        <v>256</v>
      </c>
      <c r="D18" s="6">
        <v>1</v>
      </c>
      <c r="E18" s="6">
        <v>8</v>
      </c>
      <c r="F18" s="6" t="s">
        <v>14</v>
      </c>
      <c r="G18" s="3">
        <v>1920</v>
      </c>
      <c r="H18" s="29">
        <v>1</v>
      </c>
      <c r="I18" s="3">
        <f t="shared" si="0"/>
        <v>1919</v>
      </c>
      <c r="J18" s="7">
        <f t="shared" si="1"/>
        <v>5.2083333333333333E-4</v>
      </c>
      <c r="K18" s="43">
        <f t="shared" si="2"/>
        <v>8.1919999999999996E-3</v>
      </c>
    </row>
    <row r="19" spans="1:11" ht="18" customHeight="1" x14ac:dyDescent="0.2">
      <c r="A19" s="6">
        <v>15</v>
      </c>
      <c r="B19" s="6" t="s">
        <v>12</v>
      </c>
      <c r="C19" s="6">
        <v>256</v>
      </c>
      <c r="D19" s="6">
        <v>1</v>
      </c>
      <c r="E19" s="6">
        <v>8</v>
      </c>
      <c r="F19" s="6" t="s">
        <v>15</v>
      </c>
      <c r="G19" s="3">
        <v>1920</v>
      </c>
      <c r="H19" s="29">
        <v>1</v>
      </c>
      <c r="I19" s="3">
        <f t="shared" si="0"/>
        <v>1919</v>
      </c>
      <c r="J19" s="7">
        <f t="shared" si="1"/>
        <v>5.2083333333333333E-4</v>
      </c>
      <c r="K19" s="43">
        <f t="shared" si="2"/>
        <v>8.1919999999999996E-3</v>
      </c>
    </row>
    <row r="20" spans="1:11" ht="18" customHeight="1" x14ac:dyDescent="0.2">
      <c r="A20" s="8">
        <v>16</v>
      </c>
      <c r="B20" s="8" t="s">
        <v>12</v>
      </c>
      <c r="C20" s="8">
        <v>256</v>
      </c>
      <c r="D20" s="8">
        <v>1</v>
      </c>
      <c r="E20" s="8">
        <v>16</v>
      </c>
      <c r="F20" s="8" t="s">
        <v>13</v>
      </c>
      <c r="G20" s="9">
        <v>1920</v>
      </c>
      <c r="H20" s="30">
        <v>1</v>
      </c>
      <c r="I20" s="9">
        <f t="shared" si="0"/>
        <v>1919</v>
      </c>
      <c r="J20" s="10">
        <f t="shared" si="1"/>
        <v>5.2083333333333333E-4</v>
      </c>
      <c r="K20" s="43">
        <f t="shared" si="2"/>
        <v>8.1919999999999996E-3</v>
      </c>
    </row>
    <row r="21" spans="1:11" ht="18" customHeight="1" x14ac:dyDescent="0.2">
      <c r="A21" s="8">
        <v>17</v>
      </c>
      <c r="B21" s="8" t="s">
        <v>12</v>
      </c>
      <c r="C21" s="8">
        <v>256</v>
      </c>
      <c r="D21" s="8">
        <v>1</v>
      </c>
      <c r="E21" s="8">
        <v>16</v>
      </c>
      <c r="F21" s="8" t="s">
        <v>14</v>
      </c>
      <c r="G21" s="9">
        <v>1920</v>
      </c>
      <c r="H21" s="30">
        <v>1</v>
      </c>
      <c r="I21" s="9">
        <f t="shared" si="0"/>
        <v>1919</v>
      </c>
      <c r="J21" s="10">
        <f t="shared" si="1"/>
        <v>5.2083333333333333E-4</v>
      </c>
      <c r="K21" s="43">
        <f t="shared" si="2"/>
        <v>8.1919999999999996E-3</v>
      </c>
    </row>
    <row r="22" spans="1:11" ht="18" customHeight="1" x14ac:dyDescent="0.2">
      <c r="A22" s="8">
        <v>18</v>
      </c>
      <c r="B22" s="8" t="s">
        <v>12</v>
      </c>
      <c r="C22" s="8">
        <v>256</v>
      </c>
      <c r="D22" s="8">
        <v>1</v>
      </c>
      <c r="E22" s="8">
        <v>16</v>
      </c>
      <c r="F22" s="8" t="s">
        <v>15</v>
      </c>
      <c r="G22" s="9">
        <v>1920</v>
      </c>
      <c r="H22" s="30">
        <v>1</v>
      </c>
      <c r="I22" s="9">
        <f t="shared" si="0"/>
        <v>1919</v>
      </c>
      <c r="J22" s="10">
        <f t="shared" si="1"/>
        <v>5.2083333333333333E-4</v>
      </c>
      <c r="K22" s="43">
        <f t="shared" si="2"/>
        <v>8.1919999999999996E-3</v>
      </c>
    </row>
    <row r="23" spans="1:11" ht="18" customHeight="1" x14ac:dyDescent="0.2">
      <c r="A23" s="6">
        <v>19</v>
      </c>
      <c r="B23" s="6" t="s">
        <v>12</v>
      </c>
      <c r="C23" s="6">
        <v>1024</v>
      </c>
      <c r="D23" s="6">
        <v>1</v>
      </c>
      <c r="E23" s="6">
        <v>4</v>
      </c>
      <c r="F23" s="6" t="s">
        <v>13</v>
      </c>
      <c r="G23" s="3">
        <v>1920</v>
      </c>
      <c r="H23" s="29">
        <v>1</v>
      </c>
      <c r="I23" s="3">
        <f t="shared" si="0"/>
        <v>1919</v>
      </c>
      <c r="J23" s="7">
        <f t="shared" si="1"/>
        <v>5.2083333333333333E-4</v>
      </c>
      <c r="K23" s="43">
        <f t="shared" si="2"/>
        <v>8.1919999999999996E-3</v>
      </c>
    </row>
    <row r="24" spans="1:11" ht="18" customHeight="1" x14ac:dyDescent="0.2">
      <c r="A24" s="6">
        <v>20</v>
      </c>
      <c r="B24" s="6" t="s">
        <v>12</v>
      </c>
      <c r="C24" s="6">
        <v>1024</v>
      </c>
      <c r="D24" s="6">
        <v>1</v>
      </c>
      <c r="E24" s="6">
        <v>4</v>
      </c>
      <c r="F24" s="6" t="s">
        <v>14</v>
      </c>
      <c r="G24" s="3">
        <v>1920</v>
      </c>
      <c r="H24" s="29">
        <v>1</v>
      </c>
      <c r="I24" s="3">
        <f t="shared" si="0"/>
        <v>1919</v>
      </c>
      <c r="J24" s="7">
        <f t="shared" si="1"/>
        <v>5.2083333333333333E-4</v>
      </c>
      <c r="K24" s="43">
        <f t="shared" si="2"/>
        <v>8.1919999999999996E-3</v>
      </c>
    </row>
    <row r="25" spans="1:11" ht="18" customHeight="1" x14ac:dyDescent="0.2">
      <c r="A25" s="6">
        <v>21</v>
      </c>
      <c r="B25" s="6" t="s">
        <v>12</v>
      </c>
      <c r="C25" s="6">
        <v>1024</v>
      </c>
      <c r="D25" s="6">
        <v>1</v>
      </c>
      <c r="E25" s="6">
        <v>4</v>
      </c>
      <c r="F25" s="6" t="s">
        <v>15</v>
      </c>
      <c r="G25" s="3">
        <v>1920</v>
      </c>
      <c r="H25" s="29">
        <v>1</v>
      </c>
      <c r="I25" s="3">
        <f t="shared" si="0"/>
        <v>1919</v>
      </c>
      <c r="J25" s="7">
        <f t="shared" si="1"/>
        <v>5.2083333333333333E-4</v>
      </c>
      <c r="K25" s="43">
        <f t="shared" si="2"/>
        <v>8.1919999999999996E-3</v>
      </c>
    </row>
    <row r="26" spans="1:11" ht="18" customHeight="1" x14ac:dyDescent="0.2">
      <c r="A26" s="8">
        <v>22</v>
      </c>
      <c r="B26" s="8" t="s">
        <v>12</v>
      </c>
      <c r="C26" s="8">
        <v>1024</v>
      </c>
      <c r="D26" s="8">
        <v>1</v>
      </c>
      <c r="E26" s="8">
        <v>8</v>
      </c>
      <c r="F26" s="8" t="s">
        <v>13</v>
      </c>
      <c r="G26" s="9">
        <v>1920</v>
      </c>
      <c r="H26" s="30">
        <v>1</v>
      </c>
      <c r="I26" s="9">
        <f t="shared" si="0"/>
        <v>1919</v>
      </c>
      <c r="J26" s="10">
        <f t="shared" si="1"/>
        <v>5.2083333333333333E-4</v>
      </c>
      <c r="K26" s="43">
        <f t="shared" si="2"/>
        <v>8.1919999999999996E-3</v>
      </c>
    </row>
    <row r="27" spans="1:11" ht="18" customHeight="1" x14ac:dyDescent="0.2">
      <c r="A27" s="8">
        <v>23</v>
      </c>
      <c r="B27" s="8" t="s">
        <v>12</v>
      </c>
      <c r="C27" s="8">
        <v>1024</v>
      </c>
      <c r="D27" s="8">
        <v>1</v>
      </c>
      <c r="E27" s="8">
        <v>8</v>
      </c>
      <c r="F27" s="8" t="s">
        <v>14</v>
      </c>
      <c r="G27" s="9">
        <v>1920</v>
      </c>
      <c r="H27" s="30">
        <v>1</v>
      </c>
      <c r="I27" s="9">
        <f t="shared" si="0"/>
        <v>1919</v>
      </c>
      <c r="J27" s="10">
        <f t="shared" si="1"/>
        <v>5.2083333333333333E-4</v>
      </c>
      <c r="K27" s="43">
        <f t="shared" si="2"/>
        <v>8.1919999999999996E-3</v>
      </c>
    </row>
    <row r="28" spans="1:11" ht="18" customHeight="1" x14ac:dyDescent="0.2">
      <c r="A28" s="8">
        <v>24</v>
      </c>
      <c r="B28" s="8" t="s">
        <v>12</v>
      </c>
      <c r="C28" s="8">
        <v>1024</v>
      </c>
      <c r="D28" s="8">
        <v>1</v>
      </c>
      <c r="E28" s="8">
        <v>8</v>
      </c>
      <c r="F28" s="8" t="s">
        <v>15</v>
      </c>
      <c r="G28" s="9">
        <v>1920</v>
      </c>
      <c r="H28" s="30">
        <v>1</v>
      </c>
      <c r="I28" s="9">
        <f t="shared" si="0"/>
        <v>1919</v>
      </c>
      <c r="J28" s="10">
        <f t="shared" si="1"/>
        <v>5.2083333333333333E-4</v>
      </c>
      <c r="K28" s="43">
        <f t="shared" si="2"/>
        <v>8.1919999999999996E-3</v>
      </c>
    </row>
    <row r="29" spans="1:11" ht="18" customHeight="1" x14ac:dyDescent="0.2">
      <c r="A29" s="6">
        <v>25</v>
      </c>
      <c r="B29" s="6" t="s">
        <v>12</v>
      </c>
      <c r="C29" s="6">
        <v>1024</v>
      </c>
      <c r="D29" s="6">
        <v>1</v>
      </c>
      <c r="E29" s="6">
        <v>16</v>
      </c>
      <c r="F29" s="6" t="s">
        <v>13</v>
      </c>
      <c r="G29" s="3">
        <v>1920</v>
      </c>
      <c r="H29" s="29">
        <v>1</v>
      </c>
      <c r="I29" s="3">
        <f t="shared" si="0"/>
        <v>1919</v>
      </c>
      <c r="J29" s="7">
        <f t="shared" si="1"/>
        <v>5.2083333333333333E-4</v>
      </c>
      <c r="K29" s="43">
        <f t="shared" si="2"/>
        <v>8.1919999999999996E-3</v>
      </c>
    </row>
    <row r="30" spans="1:11" ht="18" customHeight="1" x14ac:dyDescent="0.2">
      <c r="A30" s="11">
        <v>26</v>
      </c>
      <c r="B30" s="11" t="s">
        <v>12</v>
      </c>
      <c r="C30" s="11">
        <v>1024</v>
      </c>
      <c r="D30" s="11">
        <v>1</v>
      </c>
      <c r="E30" s="11">
        <v>16</v>
      </c>
      <c r="F30" s="11" t="s">
        <v>14</v>
      </c>
      <c r="G30" s="12">
        <v>1920</v>
      </c>
      <c r="H30" s="31">
        <v>1</v>
      </c>
      <c r="I30" s="12">
        <f t="shared" si="0"/>
        <v>1919</v>
      </c>
      <c r="J30" s="13">
        <f t="shared" si="1"/>
        <v>5.2083333333333333E-4</v>
      </c>
      <c r="K30" s="43">
        <f t="shared" si="2"/>
        <v>8.1919999999999996E-3</v>
      </c>
    </row>
    <row r="31" spans="1:11" ht="18" customHeight="1" thickBot="1" x14ac:dyDescent="0.25">
      <c r="A31" s="17">
        <v>27</v>
      </c>
      <c r="B31" s="17" t="s">
        <v>12</v>
      </c>
      <c r="C31" s="17">
        <v>1024</v>
      </c>
      <c r="D31" s="17">
        <v>1</v>
      </c>
      <c r="E31" s="17">
        <v>16</v>
      </c>
      <c r="F31" s="17" t="s">
        <v>15</v>
      </c>
      <c r="G31" s="18">
        <v>1920</v>
      </c>
      <c r="H31" s="32">
        <v>1</v>
      </c>
      <c r="I31" s="18">
        <f t="shared" si="0"/>
        <v>1919</v>
      </c>
      <c r="J31" s="19">
        <f t="shared" si="1"/>
        <v>5.2083333333333333E-4</v>
      </c>
      <c r="K31" s="43">
        <f t="shared" si="2"/>
        <v>8.1919999999999996E-3</v>
      </c>
    </row>
    <row r="32" spans="1:11" ht="18" customHeight="1" x14ac:dyDescent="0.2">
      <c r="A32" s="14">
        <v>28</v>
      </c>
      <c r="B32" s="14" t="s">
        <v>16</v>
      </c>
      <c r="C32" s="14">
        <v>64</v>
      </c>
      <c r="D32" s="14">
        <v>7</v>
      </c>
      <c r="E32" s="14">
        <v>4</v>
      </c>
      <c r="F32" s="14" t="s">
        <v>13</v>
      </c>
      <c r="G32" s="15">
        <v>7680</v>
      </c>
      <c r="H32" s="33">
        <v>425</v>
      </c>
      <c r="I32" s="15">
        <f t="shared" si="0"/>
        <v>7255</v>
      </c>
      <c r="J32" s="16">
        <f t="shared" si="1"/>
        <v>5.5338541666666664E-2</v>
      </c>
      <c r="K32" s="43">
        <f t="shared" si="2"/>
        <v>3.4007679999999998</v>
      </c>
    </row>
    <row r="33" spans="1:11" ht="18" customHeight="1" x14ac:dyDescent="0.2">
      <c r="A33" s="8">
        <v>29</v>
      </c>
      <c r="B33" s="8" t="s">
        <v>16</v>
      </c>
      <c r="C33" s="8">
        <v>64</v>
      </c>
      <c r="D33" s="8">
        <v>7</v>
      </c>
      <c r="E33" s="8">
        <v>4</v>
      </c>
      <c r="F33" s="8" t="s">
        <v>14</v>
      </c>
      <c r="G33" s="9">
        <v>7680</v>
      </c>
      <c r="H33" s="30">
        <v>341</v>
      </c>
      <c r="I33" s="9">
        <f t="shared" si="0"/>
        <v>7339</v>
      </c>
      <c r="J33" s="10">
        <f t="shared" si="1"/>
        <v>4.4401041666666669E-2</v>
      </c>
      <c r="K33" s="43">
        <f t="shared" si="2"/>
        <v>2.7287680000000001</v>
      </c>
    </row>
    <row r="34" spans="1:11" ht="18" customHeight="1" x14ac:dyDescent="0.2">
      <c r="A34" s="8">
        <v>30</v>
      </c>
      <c r="B34" s="8" t="s">
        <v>16</v>
      </c>
      <c r="C34" s="8">
        <v>64</v>
      </c>
      <c r="D34" s="8">
        <v>7</v>
      </c>
      <c r="E34" s="8">
        <v>4</v>
      </c>
      <c r="F34" s="8" t="s">
        <v>15</v>
      </c>
      <c r="G34" s="9">
        <v>7680</v>
      </c>
      <c r="H34" s="30">
        <v>341</v>
      </c>
      <c r="I34" s="9">
        <f t="shared" si="0"/>
        <v>7339</v>
      </c>
      <c r="J34" s="10">
        <f t="shared" si="1"/>
        <v>4.4401041666666669E-2</v>
      </c>
      <c r="K34" s="43">
        <f t="shared" si="2"/>
        <v>2.7287680000000001</v>
      </c>
    </row>
    <row r="35" spans="1:11" ht="18" customHeight="1" x14ac:dyDescent="0.2">
      <c r="A35" s="6">
        <v>31</v>
      </c>
      <c r="B35" s="6" t="s">
        <v>16</v>
      </c>
      <c r="C35" s="6">
        <v>64</v>
      </c>
      <c r="D35" s="6">
        <v>7</v>
      </c>
      <c r="E35" s="6">
        <v>8</v>
      </c>
      <c r="F35" s="6" t="s">
        <v>13</v>
      </c>
      <c r="G35" s="3">
        <v>7680</v>
      </c>
      <c r="H35" s="29">
        <v>5</v>
      </c>
      <c r="I35" s="3">
        <f t="shared" si="0"/>
        <v>7675</v>
      </c>
      <c r="J35" s="7">
        <f t="shared" si="1"/>
        <v>6.5104166666666663E-4</v>
      </c>
      <c r="K35" s="43">
        <f t="shared" si="2"/>
        <v>4.0767999999999999E-2</v>
      </c>
    </row>
    <row r="36" spans="1:11" ht="18" customHeight="1" x14ac:dyDescent="0.2">
      <c r="A36" s="6">
        <v>32</v>
      </c>
      <c r="B36" s="6" t="s">
        <v>16</v>
      </c>
      <c r="C36" s="6">
        <v>64</v>
      </c>
      <c r="D36" s="6">
        <v>7</v>
      </c>
      <c r="E36" s="6">
        <v>8</v>
      </c>
      <c r="F36" s="6" t="s">
        <v>14</v>
      </c>
      <c r="G36" s="3">
        <v>7680</v>
      </c>
      <c r="H36" s="29">
        <v>5</v>
      </c>
      <c r="I36" s="3">
        <f t="shared" si="0"/>
        <v>7675</v>
      </c>
      <c r="J36" s="7">
        <f t="shared" si="1"/>
        <v>6.5104166666666663E-4</v>
      </c>
      <c r="K36" s="43">
        <f t="shared" si="2"/>
        <v>4.0767999999999999E-2</v>
      </c>
    </row>
    <row r="37" spans="1:11" ht="18" customHeight="1" x14ac:dyDescent="0.2">
      <c r="A37" s="6">
        <v>33</v>
      </c>
      <c r="B37" s="6" t="s">
        <v>16</v>
      </c>
      <c r="C37" s="6">
        <v>64</v>
      </c>
      <c r="D37" s="6">
        <v>7</v>
      </c>
      <c r="E37" s="6">
        <v>8</v>
      </c>
      <c r="F37" s="6" t="s">
        <v>15</v>
      </c>
      <c r="G37" s="3">
        <v>7680</v>
      </c>
      <c r="H37" s="29">
        <v>5</v>
      </c>
      <c r="I37" s="3">
        <f t="shared" ref="I37:I68" si="3">G37-H37</f>
        <v>7675</v>
      </c>
      <c r="J37" s="7">
        <f t="shared" ref="J37:J68" si="4">H37/G37</f>
        <v>6.5104166666666663E-4</v>
      </c>
      <c r="K37" s="43">
        <f t="shared" ref="K37:K68" si="5">G37*0.0000001+H37*0.008</f>
        <v>4.0767999999999999E-2</v>
      </c>
    </row>
    <row r="38" spans="1:11" ht="18" customHeight="1" x14ac:dyDescent="0.2">
      <c r="A38" s="8">
        <v>34</v>
      </c>
      <c r="B38" s="8" t="s">
        <v>16</v>
      </c>
      <c r="C38" s="8">
        <v>64</v>
      </c>
      <c r="D38" s="8">
        <v>7</v>
      </c>
      <c r="E38" s="8">
        <v>16</v>
      </c>
      <c r="F38" s="8" t="s">
        <v>13</v>
      </c>
      <c r="G38" s="9">
        <v>7680</v>
      </c>
      <c r="H38" s="30">
        <v>5</v>
      </c>
      <c r="I38" s="9">
        <f t="shared" si="3"/>
        <v>7675</v>
      </c>
      <c r="J38" s="10">
        <f t="shared" si="4"/>
        <v>6.5104166666666663E-4</v>
      </c>
      <c r="K38" s="43">
        <f t="shared" si="5"/>
        <v>4.0767999999999999E-2</v>
      </c>
    </row>
    <row r="39" spans="1:11" ht="18" customHeight="1" x14ac:dyDescent="0.2">
      <c r="A39" s="8">
        <v>35</v>
      </c>
      <c r="B39" s="8" t="s">
        <v>16</v>
      </c>
      <c r="C39" s="8">
        <v>64</v>
      </c>
      <c r="D39" s="8">
        <v>7</v>
      </c>
      <c r="E39" s="8">
        <v>16</v>
      </c>
      <c r="F39" s="8" t="s">
        <v>14</v>
      </c>
      <c r="G39" s="9">
        <v>7680</v>
      </c>
      <c r="H39" s="30">
        <v>5</v>
      </c>
      <c r="I39" s="9">
        <f t="shared" si="3"/>
        <v>7675</v>
      </c>
      <c r="J39" s="10">
        <f t="shared" si="4"/>
        <v>6.5104166666666663E-4</v>
      </c>
      <c r="K39" s="43">
        <f t="shared" si="5"/>
        <v>4.0767999999999999E-2</v>
      </c>
    </row>
    <row r="40" spans="1:11" ht="18" customHeight="1" x14ac:dyDescent="0.2">
      <c r="A40" s="8">
        <v>36</v>
      </c>
      <c r="B40" s="8" t="s">
        <v>16</v>
      </c>
      <c r="C40" s="8">
        <v>64</v>
      </c>
      <c r="D40" s="8">
        <v>7</v>
      </c>
      <c r="E40" s="8">
        <v>16</v>
      </c>
      <c r="F40" s="8" t="s">
        <v>15</v>
      </c>
      <c r="G40" s="9">
        <v>7680</v>
      </c>
      <c r="H40" s="30">
        <v>5</v>
      </c>
      <c r="I40" s="9">
        <f t="shared" si="3"/>
        <v>7675</v>
      </c>
      <c r="J40" s="10">
        <f t="shared" si="4"/>
        <v>6.5104166666666663E-4</v>
      </c>
      <c r="K40" s="43">
        <f t="shared" si="5"/>
        <v>4.0767999999999999E-2</v>
      </c>
    </row>
    <row r="41" spans="1:11" ht="18" customHeight="1" x14ac:dyDescent="0.2">
      <c r="A41" s="6">
        <v>37</v>
      </c>
      <c r="B41" s="6" t="s">
        <v>16</v>
      </c>
      <c r="C41" s="6">
        <v>256</v>
      </c>
      <c r="D41" s="6">
        <v>2</v>
      </c>
      <c r="E41" s="6">
        <v>4</v>
      </c>
      <c r="F41" s="6" t="s">
        <v>13</v>
      </c>
      <c r="G41" s="3">
        <v>7680</v>
      </c>
      <c r="H41" s="29">
        <v>2</v>
      </c>
      <c r="I41" s="3">
        <f t="shared" si="3"/>
        <v>7678</v>
      </c>
      <c r="J41" s="7">
        <f t="shared" si="4"/>
        <v>2.6041666666666666E-4</v>
      </c>
      <c r="K41" s="43">
        <f t="shared" si="5"/>
        <v>1.6768000000000002E-2</v>
      </c>
    </row>
    <row r="42" spans="1:11" ht="18" customHeight="1" x14ac:dyDescent="0.2">
      <c r="A42" s="6">
        <v>38</v>
      </c>
      <c r="B42" s="6" t="s">
        <v>16</v>
      </c>
      <c r="C42" s="6">
        <v>256</v>
      </c>
      <c r="D42" s="6">
        <v>2</v>
      </c>
      <c r="E42" s="6">
        <v>4</v>
      </c>
      <c r="F42" s="6" t="s">
        <v>14</v>
      </c>
      <c r="G42" s="3">
        <v>7680</v>
      </c>
      <c r="H42" s="29">
        <v>2</v>
      </c>
      <c r="I42" s="3">
        <f t="shared" si="3"/>
        <v>7678</v>
      </c>
      <c r="J42" s="7">
        <f t="shared" si="4"/>
        <v>2.6041666666666666E-4</v>
      </c>
      <c r="K42" s="43">
        <f t="shared" si="5"/>
        <v>1.6768000000000002E-2</v>
      </c>
    </row>
    <row r="43" spans="1:11" ht="18" customHeight="1" x14ac:dyDescent="0.2">
      <c r="A43" s="6">
        <v>39</v>
      </c>
      <c r="B43" s="6" t="s">
        <v>16</v>
      </c>
      <c r="C43" s="6">
        <v>256</v>
      </c>
      <c r="D43" s="6">
        <v>2</v>
      </c>
      <c r="E43" s="6">
        <v>4</v>
      </c>
      <c r="F43" s="6" t="s">
        <v>15</v>
      </c>
      <c r="G43" s="3">
        <v>7680</v>
      </c>
      <c r="H43" s="29">
        <v>2</v>
      </c>
      <c r="I43" s="3">
        <f t="shared" si="3"/>
        <v>7678</v>
      </c>
      <c r="J43" s="7">
        <f t="shared" si="4"/>
        <v>2.6041666666666666E-4</v>
      </c>
      <c r="K43" s="43">
        <f t="shared" si="5"/>
        <v>1.6768000000000002E-2</v>
      </c>
    </row>
    <row r="44" spans="1:11" ht="18" customHeight="1" x14ac:dyDescent="0.2">
      <c r="A44" s="8">
        <v>40</v>
      </c>
      <c r="B44" s="8" t="s">
        <v>16</v>
      </c>
      <c r="C44" s="8">
        <v>256</v>
      </c>
      <c r="D44" s="8">
        <v>2</v>
      </c>
      <c r="E44" s="8">
        <v>8</v>
      </c>
      <c r="F44" s="8" t="s">
        <v>13</v>
      </c>
      <c r="G44" s="9">
        <v>7680</v>
      </c>
      <c r="H44" s="30">
        <v>2</v>
      </c>
      <c r="I44" s="9">
        <f t="shared" si="3"/>
        <v>7678</v>
      </c>
      <c r="J44" s="10">
        <f t="shared" si="4"/>
        <v>2.6041666666666666E-4</v>
      </c>
      <c r="K44" s="43">
        <f t="shared" si="5"/>
        <v>1.6768000000000002E-2</v>
      </c>
    </row>
    <row r="45" spans="1:11" ht="18" customHeight="1" x14ac:dyDescent="0.2">
      <c r="A45" s="8">
        <v>41</v>
      </c>
      <c r="B45" s="8" t="s">
        <v>16</v>
      </c>
      <c r="C45" s="8">
        <v>256</v>
      </c>
      <c r="D45" s="8">
        <v>2</v>
      </c>
      <c r="E45" s="8">
        <v>8</v>
      </c>
      <c r="F45" s="8" t="s">
        <v>14</v>
      </c>
      <c r="G45" s="9">
        <v>7680</v>
      </c>
      <c r="H45" s="30">
        <v>2</v>
      </c>
      <c r="I45" s="9">
        <f t="shared" si="3"/>
        <v>7678</v>
      </c>
      <c r="J45" s="10">
        <f t="shared" si="4"/>
        <v>2.6041666666666666E-4</v>
      </c>
      <c r="K45" s="43">
        <f t="shared" si="5"/>
        <v>1.6768000000000002E-2</v>
      </c>
    </row>
    <row r="46" spans="1:11" ht="18" customHeight="1" x14ac:dyDescent="0.2">
      <c r="A46" s="8">
        <v>42</v>
      </c>
      <c r="B46" s="8" t="s">
        <v>16</v>
      </c>
      <c r="C46" s="8">
        <v>256</v>
      </c>
      <c r="D46" s="8">
        <v>2</v>
      </c>
      <c r="E46" s="8">
        <v>8</v>
      </c>
      <c r="F46" s="8" t="s">
        <v>15</v>
      </c>
      <c r="G46" s="9">
        <v>7680</v>
      </c>
      <c r="H46" s="30">
        <v>2</v>
      </c>
      <c r="I46" s="9">
        <f t="shared" si="3"/>
        <v>7678</v>
      </c>
      <c r="J46" s="10">
        <f t="shared" si="4"/>
        <v>2.6041666666666666E-4</v>
      </c>
      <c r="K46" s="43">
        <f t="shared" si="5"/>
        <v>1.6768000000000002E-2</v>
      </c>
    </row>
    <row r="47" spans="1:11" ht="18" customHeight="1" x14ac:dyDescent="0.2">
      <c r="A47" s="6">
        <v>43</v>
      </c>
      <c r="B47" s="6" t="s">
        <v>16</v>
      </c>
      <c r="C47" s="6">
        <v>256</v>
      </c>
      <c r="D47" s="6">
        <v>2</v>
      </c>
      <c r="E47" s="6">
        <v>16</v>
      </c>
      <c r="F47" s="6" t="s">
        <v>13</v>
      </c>
      <c r="G47" s="3">
        <v>7680</v>
      </c>
      <c r="H47" s="29">
        <v>2</v>
      </c>
      <c r="I47" s="3">
        <f t="shared" si="3"/>
        <v>7678</v>
      </c>
      <c r="J47" s="7">
        <f t="shared" si="4"/>
        <v>2.6041666666666666E-4</v>
      </c>
      <c r="K47" s="43">
        <f t="shared" si="5"/>
        <v>1.6768000000000002E-2</v>
      </c>
    </row>
    <row r="48" spans="1:11" ht="18" customHeight="1" x14ac:dyDescent="0.2">
      <c r="A48" s="6">
        <v>44</v>
      </c>
      <c r="B48" s="6" t="s">
        <v>16</v>
      </c>
      <c r="C48" s="6">
        <v>256</v>
      </c>
      <c r="D48" s="6">
        <v>2</v>
      </c>
      <c r="E48" s="6">
        <v>16</v>
      </c>
      <c r="F48" s="6" t="s">
        <v>14</v>
      </c>
      <c r="G48" s="3">
        <v>7680</v>
      </c>
      <c r="H48" s="29">
        <v>2</v>
      </c>
      <c r="I48" s="3">
        <f t="shared" si="3"/>
        <v>7678</v>
      </c>
      <c r="J48" s="7">
        <f t="shared" si="4"/>
        <v>2.6041666666666666E-4</v>
      </c>
      <c r="K48" s="43">
        <f t="shared" si="5"/>
        <v>1.6768000000000002E-2</v>
      </c>
    </row>
    <row r="49" spans="1:11" ht="18" customHeight="1" x14ac:dyDescent="0.2">
      <c r="A49" s="6">
        <v>45</v>
      </c>
      <c r="B49" s="6" t="s">
        <v>16</v>
      </c>
      <c r="C49" s="6">
        <v>256</v>
      </c>
      <c r="D49" s="6">
        <v>2</v>
      </c>
      <c r="E49" s="6">
        <v>16</v>
      </c>
      <c r="F49" s="6" t="s">
        <v>15</v>
      </c>
      <c r="G49" s="3">
        <v>7680</v>
      </c>
      <c r="H49" s="29">
        <v>2</v>
      </c>
      <c r="I49" s="3">
        <f t="shared" si="3"/>
        <v>7678</v>
      </c>
      <c r="J49" s="7">
        <f t="shared" si="4"/>
        <v>2.6041666666666666E-4</v>
      </c>
      <c r="K49" s="43">
        <f t="shared" si="5"/>
        <v>1.6768000000000002E-2</v>
      </c>
    </row>
    <row r="50" spans="1:11" ht="18" customHeight="1" x14ac:dyDescent="0.2">
      <c r="A50" s="8">
        <v>46</v>
      </c>
      <c r="B50" s="8" t="s">
        <v>16</v>
      </c>
      <c r="C50" s="8">
        <v>1024</v>
      </c>
      <c r="D50" s="8">
        <v>1</v>
      </c>
      <c r="E50" s="8">
        <v>4</v>
      </c>
      <c r="F50" s="8" t="s">
        <v>13</v>
      </c>
      <c r="G50" s="9">
        <v>7680</v>
      </c>
      <c r="H50" s="30">
        <v>1</v>
      </c>
      <c r="I50" s="9">
        <f t="shared" si="3"/>
        <v>7679</v>
      </c>
      <c r="J50" s="10">
        <f t="shared" si="4"/>
        <v>1.3020833333333333E-4</v>
      </c>
      <c r="K50" s="43">
        <f t="shared" si="5"/>
        <v>8.7679999999999998E-3</v>
      </c>
    </row>
    <row r="51" spans="1:11" ht="18" customHeight="1" x14ac:dyDescent="0.2">
      <c r="A51" s="8">
        <v>47</v>
      </c>
      <c r="B51" s="8" t="s">
        <v>16</v>
      </c>
      <c r="C51" s="8">
        <v>1024</v>
      </c>
      <c r="D51" s="8">
        <v>1</v>
      </c>
      <c r="E51" s="8">
        <v>4</v>
      </c>
      <c r="F51" s="8" t="s">
        <v>14</v>
      </c>
      <c r="G51" s="9">
        <v>7680</v>
      </c>
      <c r="H51" s="30">
        <v>1</v>
      </c>
      <c r="I51" s="9">
        <f t="shared" si="3"/>
        <v>7679</v>
      </c>
      <c r="J51" s="10">
        <f t="shared" si="4"/>
        <v>1.3020833333333333E-4</v>
      </c>
      <c r="K51" s="43">
        <f t="shared" si="5"/>
        <v>8.7679999999999998E-3</v>
      </c>
    </row>
    <row r="52" spans="1:11" ht="18" customHeight="1" x14ac:dyDescent="0.2">
      <c r="A52" s="8">
        <v>48</v>
      </c>
      <c r="B52" s="8" t="s">
        <v>16</v>
      </c>
      <c r="C52" s="8">
        <v>1024</v>
      </c>
      <c r="D52" s="8">
        <v>1</v>
      </c>
      <c r="E52" s="8">
        <v>4</v>
      </c>
      <c r="F52" s="8" t="s">
        <v>15</v>
      </c>
      <c r="G52" s="9">
        <v>7680</v>
      </c>
      <c r="H52" s="30">
        <v>1</v>
      </c>
      <c r="I52" s="9">
        <f t="shared" si="3"/>
        <v>7679</v>
      </c>
      <c r="J52" s="10">
        <f t="shared" si="4"/>
        <v>1.3020833333333333E-4</v>
      </c>
      <c r="K52" s="43">
        <f t="shared" si="5"/>
        <v>8.7679999999999998E-3</v>
      </c>
    </row>
    <row r="53" spans="1:11" ht="18" customHeight="1" x14ac:dyDescent="0.2">
      <c r="A53" s="6">
        <v>49</v>
      </c>
      <c r="B53" s="6" t="s">
        <v>16</v>
      </c>
      <c r="C53" s="6">
        <v>1024</v>
      </c>
      <c r="D53" s="6">
        <v>1</v>
      </c>
      <c r="E53" s="6">
        <v>8</v>
      </c>
      <c r="F53" s="6" t="s">
        <v>13</v>
      </c>
      <c r="G53" s="3">
        <v>7680</v>
      </c>
      <c r="H53" s="29">
        <v>1</v>
      </c>
      <c r="I53" s="3">
        <f t="shared" si="3"/>
        <v>7679</v>
      </c>
      <c r="J53" s="7">
        <f t="shared" si="4"/>
        <v>1.3020833333333333E-4</v>
      </c>
      <c r="K53" s="43">
        <f t="shared" si="5"/>
        <v>8.7679999999999998E-3</v>
      </c>
    </row>
    <row r="54" spans="1:11" ht="18" customHeight="1" x14ac:dyDescent="0.2">
      <c r="A54" s="6">
        <v>50</v>
      </c>
      <c r="B54" s="6" t="s">
        <v>16</v>
      </c>
      <c r="C54" s="6">
        <v>1024</v>
      </c>
      <c r="D54" s="6">
        <v>1</v>
      </c>
      <c r="E54" s="6">
        <v>8</v>
      </c>
      <c r="F54" s="6" t="s">
        <v>14</v>
      </c>
      <c r="G54" s="3">
        <v>7680</v>
      </c>
      <c r="H54" s="29">
        <v>1</v>
      </c>
      <c r="I54" s="3">
        <f t="shared" si="3"/>
        <v>7679</v>
      </c>
      <c r="J54" s="7">
        <f t="shared" si="4"/>
        <v>1.3020833333333333E-4</v>
      </c>
      <c r="K54" s="43">
        <f t="shared" si="5"/>
        <v>8.7679999999999998E-3</v>
      </c>
    </row>
    <row r="55" spans="1:11" ht="18" customHeight="1" x14ac:dyDescent="0.2">
      <c r="A55" s="6">
        <v>51</v>
      </c>
      <c r="B55" s="6" t="s">
        <v>16</v>
      </c>
      <c r="C55" s="6">
        <v>1024</v>
      </c>
      <c r="D55" s="6">
        <v>1</v>
      </c>
      <c r="E55" s="6">
        <v>8</v>
      </c>
      <c r="F55" s="6" t="s">
        <v>15</v>
      </c>
      <c r="G55" s="3">
        <v>7680</v>
      </c>
      <c r="H55" s="29">
        <v>1</v>
      </c>
      <c r="I55" s="3">
        <f t="shared" si="3"/>
        <v>7679</v>
      </c>
      <c r="J55" s="7">
        <f t="shared" si="4"/>
        <v>1.3020833333333333E-4</v>
      </c>
      <c r="K55" s="43">
        <f t="shared" si="5"/>
        <v>8.7679999999999998E-3</v>
      </c>
    </row>
    <row r="56" spans="1:11" ht="18" customHeight="1" x14ac:dyDescent="0.2">
      <c r="A56" s="8">
        <v>52</v>
      </c>
      <c r="B56" s="8" t="s">
        <v>16</v>
      </c>
      <c r="C56" s="8">
        <v>1024</v>
      </c>
      <c r="D56" s="8">
        <v>1</v>
      </c>
      <c r="E56" s="8">
        <v>16</v>
      </c>
      <c r="F56" s="8" t="s">
        <v>13</v>
      </c>
      <c r="G56" s="9">
        <v>7680</v>
      </c>
      <c r="H56" s="30">
        <v>1</v>
      </c>
      <c r="I56" s="9">
        <f t="shared" si="3"/>
        <v>7679</v>
      </c>
      <c r="J56" s="10">
        <f t="shared" si="4"/>
        <v>1.3020833333333333E-4</v>
      </c>
      <c r="K56" s="43">
        <f t="shared" si="5"/>
        <v>8.7679999999999998E-3</v>
      </c>
    </row>
    <row r="57" spans="1:11" ht="18" customHeight="1" x14ac:dyDescent="0.2">
      <c r="A57" s="20">
        <v>53</v>
      </c>
      <c r="B57" s="20" t="s">
        <v>16</v>
      </c>
      <c r="C57" s="20">
        <v>1024</v>
      </c>
      <c r="D57" s="20">
        <v>1</v>
      </c>
      <c r="E57" s="20">
        <v>16</v>
      </c>
      <c r="F57" s="20" t="s">
        <v>14</v>
      </c>
      <c r="G57" s="21">
        <v>7680</v>
      </c>
      <c r="H57" s="34">
        <v>1</v>
      </c>
      <c r="I57" s="21">
        <f t="shared" si="3"/>
        <v>7679</v>
      </c>
      <c r="J57" s="22">
        <f t="shared" si="4"/>
        <v>1.3020833333333333E-4</v>
      </c>
      <c r="K57" s="43">
        <f t="shared" si="5"/>
        <v>8.7679999999999998E-3</v>
      </c>
    </row>
    <row r="58" spans="1:11" ht="18" customHeight="1" thickBot="1" x14ac:dyDescent="0.25">
      <c r="A58" s="26">
        <v>54</v>
      </c>
      <c r="B58" s="26" t="s">
        <v>16</v>
      </c>
      <c r="C58" s="26">
        <v>1024</v>
      </c>
      <c r="D58" s="26">
        <v>1</v>
      </c>
      <c r="E58" s="26">
        <v>16</v>
      </c>
      <c r="F58" s="26" t="s">
        <v>15</v>
      </c>
      <c r="G58" s="27">
        <v>7680</v>
      </c>
      <c r="H58" s="35">
        <v>1</v>
      </c>
      <c r="I58" s="27">
        <f t="shared" si="3"/>
        <v>7679</v>
      </c>
      <c r="J58" s="28">
        <f t="shared" si="4"/>
        <v>1.3020833333333333E-4</v>
      </c>
      <c r="K58" s="43">
        <f t="shared" si="5"/>
        <v>8.7679999999999998E-3</v>
      </c>
    </row>
    <row r="59" spans="1:11" ht="18" customHeight="1" x14ac:dyDescent="0.2">
      <c r="A59" s="23">
        <v>55</v>
      </c>
      <c r="B59" s="23" t="s">
        <v>17</v>
      </c>
      <c r="C59" s="23">
        <v>64</v>
      </c>
      <c r="D59" s="23">
        <v>259</v>
      </c>
      <c r="E59" s="23">
        <v>4</v>
      </c>
      <c r="F59" s="23" t="s">
        <v>13</v>
      </c>
      <c r="G59" s="24">
        <v>491520</v>
      </c>
      <c r="H59" s="36">
        <v>104320</v>
      </c>
      <c r="I59" s="24">
        <f t="shared" si="3"/>
        <v>387200</v>
      </c>
      <c r="J59" s="25">
        <f t="shared" si="4"/>
        <v>0.21223958333333334</v>
      </c>
      <c r="K59" s="43">
        <f t="shared" si="5"/>
        <v>834.60915200000011</v>
      </c>
    </row>
    <row r="60" spans="1:11" ht="18" customHeight="1" x14ac:dyDescent="0.2">
      <c r="A60" s="6">
        <v>56</v>
      </c>
      <c r="B60" s="6" t="s">
        <v>17</v>
      </c>
      <c r="C60" s="6">
        <v>64</v>
      </c>
      <c r="D60" s="6">
        <v>259</v>
      </c>
      <c r="E60" s="6">
        <v>4</v>
      </c>
      <c r="F60" s="6" t="s">
        <v>14</v>
      </c>
      <c r="G60" s="3">
        <v>491520</v>
      </c>
      <c r="H60" s="29">
        <v>85760</v>
      </c>
      <c r="I60" s="3">
        <f t="shared" si="3"/>
        <v>405760</v>
      </c>
      <c r="J60" s="7">
        <f t="shared" si="4"/>
        <v>0.17447916666666666</v>
      </c>
      <c r="K60" s="43">
        <f t="shared" si="5"/>
        <v>686.12915200000009</v>
      </c>
    </row>
    <row r="61" spans="1:11" ht="18" customHeight="1" x14ac:dyDescent="0.2">
      <c r="A61" s="6">
        <v>57</v>
      </c>
      <c r="B61" s="6" t="s">
        <v>17</v>
      </c>
      <c r="C61" s="6">
        <v>64</v>
      </c>
      <c r="D61" s="6">
        <v>259</v>
      </c>
      <c r="E61" s="6">
        <v>4</v>
      </c>
      <c r="F61" s="6" t="s">
        <v>15</v>
      </c>
      <c r="G61" s="3">
        <v>491520</v>
      </c>
      <c r="H61" s="29">
        <v>85760</v>
      </c>
      <c r="I61" s="3">
        <f t="shared" si="3"/>
        <v>405760</v>
      </c>
      <c r="J61" s="7">
        <f t="shared" si="4"/>
        <v>0.17447916666666666</v>
      </c>
      <c r="K61" s="43">
        <f t="shared" si="5"/>
        <v>686.12915200000009</v>
      </c>
    </row>
    <row r="62" spans="1:11" ht="18" customHeight="1" x14ac:dyDescent="0.2">
      <c r="A62" s="8">
        <v>58</v>
      </c>
      <c r="B62" s="8" t="s">
        <v>17</v>
      </c>
      <c r="C62" s="8">
        <v>64</v>
      </c>
      <c r="D62" s="8">
        <v>259</v>
      </c>
      <c r="E62" s="8">
        <v>8</v>
      </c>
      <c r="F62" s="8" t="s">
        <v>13</v>
      </c>
      <c r="G62" s="9">
        <v>491520</v>
      </c>
      <c r="H62" s="30">
        <v>93760</v>
      </c>
      <c r="I62" s="9">
        <f t="shared" si="3"/>
        <v>397760</v>
      </c>
      <c r="J62" s="10">
        <f t="shared" si="4"/>
        <v>0.19075520833333334</v>
      </c>
      <c r="K62" s="43">
        <f t="shared" si="5"/>
        <v>750.12915200000009</v>
      </c>
    </row>
    <row r="63" spans="1:11" ht="18" customHeight="1" x14ac:dyDescent="0.2">
      <c r="A63" s="8">
        <v>59</v>
      </c>
      <c r="B63" s="8" t="s">
        <v>17</v>
      </c>
      <c r="C63" s="8">
        <v>64</v>
      </c>
      <c r="D63" s="8">
        <v>259</v>
      </c>
      <c r="E63" s="8">
        <v>8</v>
      </c>
      <c r="F63" s="8" t="s">
        <v>14</v>
      </c>
      <c r="G63" s="9">
        <v>491520</v>
      </c>
      <c r="H63" s="30">
        <v>84481</v>
      </c>
      <c r="I63" s="9">
        <f t="shared" si="3"/>
        <v>407039</v>
      </c>
      <c r="J63" s="10">
        <f t="shared" si="4"/>
        <v>0.17187703450520833</v>
      </c>
      <c r="K63" s="43">
        <f t="shared" si="5"/>
        <v>675.89715200000012</v>
      </c>
    </row>
    <row r="64" spans="1:11" ht="18" customHeight="1" x14ac:dyDescent="0.2">
      <c r="A64" s="8">
        <v>60</v>
      </c>
      <c r="B64" s="8" t="s">
        <v>17</v>
      </c>
      <c r="C64" s="8">
        <v>64</v>
      </c>
      <c r="D64" s="8">
        <v>259</v>
      </c>
      <c r="E64" s="8">
        <v>8</v>
      </c>
      <c r="F64" s="8" t="s">
        <v>15</v>
      </c>
      <c r="G64" s="9">
        <v>491520</v>
      </c>
      <c r="H64" s="30">
        <v>84481</v>
      </c>
      <c r="I64" s="9">
        <f t="shared" si="3"/>
        <v>407039</v>
      </c>
      <c r="J64" s="10">
        <f t="shared" si="4"/>
        <v>0.17187703450520833</v>
      </c>
      <c r="K64" s="43">
        <f t="shared" si="5"/>
        <v>675.89715200000012</v>
      </c>
    </row>
    <row r="65" spans="1:11" ht="18" customHeight="1" x14ac:dyDescent="0.2">
      <c r="A65" s="6">
        <v>61</v>
      </c>
      <c r="B65" s="6" t="s">
        <v>17</v>
      </c>
      <c r="C65" s="6">
        <v>64</v>
      </c>
      <c r="D65" s="6">
        <v>259</v>
      </c>
      <c r="E65" s="6">
        <v>16</v>
      </c>
      <c r="F65" s="6" t="s">
        <v>13</v>
      </c>
      <c r="G65" s="3">
        <v>491520</v>
      </c>
      <c r="H65" s="29">
        <v>88480</v>
      </c>
      <c r="I65" s="3">
        <f t="shared" si="3"/>
        <v>403040</v>
      </c>
      <c r="J65" s="7">
        <f t="shared" si="4"/>
        <v>0.18001302083333334</v>
      </c>
      <c r="K65" s="43">
        <f t="shared" si="5"/>
        <v>707.88915200000008</v>
      </c>
    </row>
    <row r="66" spans="1:11" ht="18" customHeight="1" x14ac:dyDescent="0.2">
      <c r="A66" s="6">
        <v>62</v>
      </c>
      <c r="B66" s="6" t="s">
        <v>17</v>
      </c>
      <c r="C66" s="6">
        <v>64</v>
      </c>
      <c r="D66" s="6">
        <v>259</v>
      </c>
      <c r="E66" s="6">
        <v>16</v>
      </c>
      <c r="F66" s="6" t="s">
        <v>14</v>
      </c>
      <c r="G66" s="3">
        <v>491520</v>
      </c>
      <c r="H66" s="29">
        <v>84481</v>
      </c>
      <c r="I66" s="3">
        <f t="shared" si="3"/>
        <v>407039</v>
      </c>
      <c r="J66" s="7">
        <f t="shared" si="4"/>
        <v>0.17187703450520833</v>
      </c>
      <c r="K66" s="43">
        <f t="shared" si="5"/>
        <v>675.89715200000012</v>
      </c>
    </row>
    <row r="67" spans="1:11" ht="18" customHeight="1" x14ac:dyDescent="0.2">
      <c r="A67" s="6">
        <v>63</v>
      </c>
      <c r="B67" s="6" t="s">
        <v>17</v>
      </c>
      <c r="C67" s="6">
        <v>64</v>
      </c>
      <c r="D67" s="6">
        <v>259</v>
      </c>
      <c r="E67" s="6">
        <v>16</v>
      </c>
      <c r="F67" s="6" t="s">
        <v>15</v>
      </c>
      <c r="G67" s="3">
        <v>491520</v>
      </c>
      <c r="H67" s="29">
        <v>84481</v>
      </c>
      <c r="I67" s="3">
        <f t="shared" si="3"/>
        <v>407039</v>
      </c>
      <c r="J67" s="7">
        <f t="shared" si="4"/>
        <v>0.17187703450520833</v>
      </c>
      <c r="K67" s="43">
        <f t="shared" si="5"/>
        <v>675.89715200000012</v>
      </c>
    </row>
    <row r="68" spans="1:11" ht="18" customHeight="1" x14ac:dyDescent="0.2">
      <c r="A68" s="8">
        <v>64</v>
      </c>
      <c r="B68" s="8" t="s">
        <v>17</v>
      </c>
      <c r="C68" s="8">
        <v>256</v>
      </c>
      <c r="D68" s="8">
        <v>65</v>
      </c>
      <c r="E68" s="8">
        <v>4</v>
      </c>
      <c r="F68" s="8" t="s">
        <v>13</v>
      </c>
      <c r="G68" s="9">
        <v>491520</v>
      </c>
      <c r="H68" s="30">
        <v>51600</v>
      </c>
      <c r="I68" s="9">
        <f t="shared" si="3"/>
        <v>439920</v>
      </c>
      <c r="J68" s="10">
        <f t="shared" si="4"/>
        <v>0.10498046875</v>
      </c>
      <c r="K68" s="43">
        <f t="shared" si="5"/>
        <v>412.849152</v>
      </c>
    </row>
    <row r="69" spans="1:11" ht="18" customHeight="1" x14ac:dyDescent="0.2">
      <c r="A69" s="8">
        <v>65</v>
      </c>
      <c r="B69" s="8" t="s">
        <v>17</v>
      </c>
      <c r="C69" s="8">
        <v>256</v>
      </c>
      <c r="D69" s="8">
        <v>65</v>
      </c>
      <c r="E69" s="8">
        <v>4</v>
      </c>
      <c r="F69" s="8" t="s">
        <v>14</v>
      </c>
      <c r="G69" s="9">
        <v>491520</v>
      </c>
      <c r="H69" s="30">
        <v>41281</v>
      </c>
      <c r="I69" s="9">
        <f t="shared" ref="I69:I85" si="6">G69-H69</f>
        <v>450239</v>
      </c>
      <c r="J69" s="10">
        <f t="shared" ref="J69:J85" si="7">H69/G69</f>
        <v>8.3986409505208331E-2</v>
      </c>
      <c r="K69" s="43">
        <f t="shared" ref="K69:K85" si="8">G69*0.0000001+H69*0.008</f>
        <v>330.29715199999998</v>
      </c>
    </row>
    <row r="70" spans="1:11" ht="18" customHeight="1" x14ac:dyDescent="0.2">
      <c r="A70" s="8">
        <v>66</v>
      </c>
      <c r="B70" s="8" t="s">
        <v>17</v>
      </c>
      <c r="C70" s="8">
        <v>256</v>
      </c>
      <c r="D70" s="8">
        <v>65</v>
      </c>
      <c r="E70" s="8">
        <v>4</v>
      </c>
      <c r="F70" s="8" t="s">
        <v>15</v>
      </c>
      <c r="G70" s="9">
        <v>491520</v>
      </c>
      <c r="H70" s="30">
        <v>41281</v>
      </c>
      <c r="I70" s="9">
        <f t="shared" si="6"/>
        <v>450239</v>
      </c>
      <c r="J70" s="10">
        <f t="shared" si="7"/>
        <v>8.3986409505208331E-2</v>
      </c>
      <c r="K70" s="43">
        <f t="shared" si="8"/>
        <v>330.29715199999998</v>
      </c>
    </row>
    <row r="71" spans="1:11" ht="18" customHeight="1" x14ac:dyDescent="0.2">
      <c r="A71" s="6">
        <v>67</v>
      </c>
      <c r="B71" s="6" t="s">
        <v>17</v>
      </c>
      <c r="C71" s="6">
        <v>256</v>
      </c>
      <c r="D71" s="6">
        <v>65</v>
      </c>
      <c r="E71" s="6">
        <v>8</v>
      </c>
      <c r="F71" s="6" t="s">
        <v>13</v>
      </c>
      <c r="G71" s="3">
        <v>491520</v>
      </c>
      <c r="H71" s="29">
        <v>46440</v>
      </c>
      <c r="I71" s="3">
        <f t="shared" si="6"/>
        <v>445080</v>
      </c>
      <c r="J71" s="7">
        <f t="shared" si="7"/>
        <v>9.4482421875E-2</v>
      </c>
      <c r="K71" s="43">
        <f t="shared" si="8"/>
        <v>371.56915199999997</v>
      </c>
    </row>
    <row r="72" spans="1:11" ht="18" customHeight="1" x14ac:dyDescent="0.2">
      <c r="A72" s="6">
        <v>68</v>
      </c>
      <c r="B72" s="6" t="s">
        <v>17</v>
      </c>
      <c r="C72" s="6">
        <v>256</v>
      </c>
      <c r="D72" s="6">
        <v>65</v>
      </c>
      <c r="E72" s="6">
        <v>8</v>
      </c>
      <c r="F72" s="6" t="s">
        <v>14</v>
      </c>
      <c r="G72" s="3">
        <v>491520</v>
      </c>
      <c r="H72" s="29">
        <v>41281</v>
      </c>
      <c r="I72" s="3">
        <f t="shared" si="6"/>
        <v>450239</v>
      </c>
      <c r="J72" s="7">
        <f t="shared" si="7"/>
        <v>8.3986409505208331E-2</v>
      </c>
      <c r="K72" s="43">
        <f t="shared" si="8"/>
        <v>330.29715199999998</v>
      </c>
    </row>
    <row r="73" spans="1:11" ht="18" customHeight="1" x14ac:dyDescent="0.2">
      <c r="A73" s="6">
        <v>69</v>
      </c>
      <c r="B73" s="6" t="s">
        <v>17</v>
      </c>
      <c r="C73" s="6">
        <v>256</v>
      </c>
      <c r="D73" s="6">
        <v>65</v>
      </c>
      <c r="E73" s="6">
        <v>8</v>
      </c>
      <c r="F73" s="6" t="s">
        <v>15</v>
      </c>
      <c r="G73" s="3">
        <v>491520</v>
      </c>
      <c r="H73" s="29">
        <v>41281</v>
      </c>
      <c r="I73" s="3">
        <f t="shared" si="6"/>
        <v>450239</v>
      </c>
      <c r="J73" s="7">
        <f t="shared" si="7"/>
        <v>8.3986409505208331E-2</v>
      </c>
      <c r="K73" s="43">
        <f t="shared" si="8"/>
        <v>330.29715199999998</v>
      </c>
    </row>
    <row r="74" spans="1:11" ht="18" customHeight="1" x14ac:dyDescent="0.2">
      <c r="A74" s="8">
        <v>70</v>
      </c>
      <c r="B74" s="8" t="s">
        <v>17</v>
      </c>
      <c r="C74" s="8">
        <v>256</v>
      </c>
      <c r="D74" s="8">
        <v>65</v>
      </c>
      <c r="E74" s="8">
        <v>16</v>
      </c>
      <c r="F74" s="8" t="s">
        <v>13</v>
      </c>
      <c r="G74" s="9">
        <v>491520</v>
      </c>
      <c r="H74" s="30">
        <v>43860</v>
      </c>
      <c r="I74" s="9">
        <f t="shared" si="6"/>
        <v>447660</v>
      </c>
      <c r="J74" s="10">
        <f t="shared" si="7"/>
        <v>8.92333984375E-2</v>
      </c>
      <c r="K74" s="43">
        <f t="shared" si="8"/>
        <v>350.92915199999999</v>
      </c>
    </row>
    <row r="75" spans="1:11" ht="18" customHeight="1" x14ac:dyDescent="0.2">
      <c r="A75" s="8">
        <v>71</v>
      </c>
      <c r="B75" s="8" t="s">
        <v>17</v>
      </c>
      <c r="C75" s="8">
        <v>256</v>
      </c>
      <c r="D75" s="8">
        <v>65</v>
      </c>
      <c r="E75" s="8">
        <v>16</v>
      </c>
      <c r="F75" s="8" t="s">
        <v>14</v>
      </c>
      <c r="G75" s="9">
        <v>491520</v>
      </c>
      <c r="H75" s="30">
        <v>41281</v>
      </c>
      <c r="I75" s="9">
        <f t="shared" si="6"/>
        <v>450239</v>
      </c>
      <c r="J75" s="10">
        <f t="shared" si="7"/>
        <v>8.3986409505208331E-2</v>
      </c>
      <c r="K75" s="43">
        <f t="shared" si="8"/>
        <v>330.29715199999998</v>
      </c>
    </row>
    <row r="76" spans="1:11" ht="18" customHeight="1" x14ac:dyDescent="0.2">
      <c r="A76" s="8">
        <v>72</v>
      </c>
      <c r="B76" s="8" t="s">
        <v>17</v>
      </c>
      <c r="C76" s="8">
        <v>256</v>
      </c>
      <c r="D76" s="8">
        <v>65</v>
      </c>
      <c r="E76" s="8">
        <v>16</v>
      </c>
      <c r="F76" s="8" t="s">
        <v>15</v>
      </c>
      <c r="G76" s="9">
        <v>491520</v>
      </c>
      <c r="H76" s="30">
        <v>41281</v>
      </c>
      <c r="I76" s="9">
        <f t="shared" si="6"/>
        <v>450239</v>
      </c>
      <c r="J76" s="10">
        <f t="shared" si="7"/>
        <v>8.3986409505208331E-2</v>
      </c>
      <c r="K76" s="43">
        <f t="shared" si="8"/>
        <v>330.29715199999998</v>
      </c>
    </row>
    <row r="77" spans="1:11" ht="18" customHeight="1" x14ac:dyDescent="0.2">
      <c r="A77" s="6">
        <v>73</v>
      </c>
      <c r="B77" s="6" t="s">
        <v>17</v>
      </c>
      <c r="C77" s="6">
        <v>1024</v>
      </c>
      <c r="D77" s="6">
        <v>17</v>
      </c>
      <c r="E77" s="6">
        <v>4</v>
      </c>
      <c r="F77" s="6" t="s">
        <v>13</v>
      </c>
      <c r="G77" s="3">
        <v>491520</v>
      </c>
      <c r="H77" s="29">
        <v>12900</v>
      </c>
      <c r="I77" s="3">
        <f t="shared" si="6"/>
        <v>478620</v>
      </c>
      <c r="J77" s="7">
        <f t="shared" si="7"/>
        <v>2.62451171875E-2</v>
      </c>
      <c r="K77" s="43">
        <f t="shared" si="8"/>
        <v>103.24915200000001</v>
      </c>
    </row>
    <row r="78" spans="1:11" ht="18" customHeight="1" x14ac:dyDescent="0.2">
      <c r="A78" s="6">
        <v>74</v>
      </c>
      <c r="B78" s="6" t="s">
        <v>17</v>
      </c>
      <c r="C78" s="6">
        <v>1024</v>
      </c>
      <c r="D78" s="6">
        <v>17</v>
      </c>
      <c r="E78" s="6">
        <v>4</v>
      </c>
      <c r="F78" s="6" t="s">
        <v>14</v>
      </c>
      <c r="G78" s="3">
        <v>491520</v>
      </c>
      <c r="H78" s="29">
        <v>10321</v>
      </c>
      <c r="I78" s="3">
        <f t="shared" si="6"/>
        <v>481199</v>
      </c>
      <c r="J78" s="7">
        <f t="shared" si="7"/>
        <v>2.0998128255208335E-2</v>
      </c>
      <c r="K78" s="43">
        <f t="shared" si="8"/>
        <v>82.617152000000004</v>
      </c>
    </row>
    <row r="79" spans="1:11" ht="18" customHeight="1" x14ac:dyDescent="0.2">
      <c r="A79" s="6">
        <v>75</v>
      </c>
      <c r="B79" s="6" t="s">
        <v>17</v>
      </c>
      <c r="C79" s="6">
        <v>1024</v>
      </c>
      <c r="D79" s="6">
        <v>17</v>
      </c>
      <c r="E79" s="6">
        <v>4</v>
      </c>
      <c r="F79" s="6" t="s">
        <v>15</v>
      </c>
      <c r="G79" s="3">
        <v>491520</v>
      </c>
      <c r="H79" s="29">
        <v>10321</v>
      </c>
      <c r="I79" s="3">
        <f t="shared" si="6"/>
        <v>481199</v>
      </c>
      <c r="J79" s="7">
        <f t="shared" si="7"/>
        <v>2.0998128255208335E-2</v>
      </c>
      <c r="K79" s="43">
        <f t="shared" si="8"/>
        <v>82.617152000000004</v>
      </c>
    </row>
    <row r="80" spans="1:11" ht="18" customHeight="1" x14ac:dyDescent="0.2">
      <c r="A80" s="8">
        <v>76</v>
      </c>
      <c r="B80" s="8" t="s">
        <v>17</v>
      </c>
      <c r="C80" s="8">
        <v>1024</v>
      </c>
      <c r="D80" s="8">
        <v>17</v>
      </c>
      <c r="E80" s="8">
        <v>8</v>
      </c>
      <c r="F80" s="8" t="s">
        <v>13</v>
      </c>
      <c r="G80" s="9">
        <v>491520</v>
      </c>
      <c r="H80" s="30">
        <v>11610</v>
      </c>
      <c r="I80" s="9">
        <f t="shared" si="6"/>
        <v>479910</v>
      </c>
      <c r="J80" s="10">
        <f t="shared" si="7"/>
        <v>2.362060546875E-2</v>
      </c>
      <c r="K80" s="43">
        <f t="shared" si="8"/>
        <v>92.929152000000002</v>
      </c>
    </row>
    <row r="81" spans="1:11" ht="18" customHeight="1" x14ac:dyDescent="0.2">
      <c r="A81" s="8">
        <v>77</v>
      </c>
      <c r="B81" s="8" t="s">
        <v>17</v>
      </c>
      <c r="C81" s="8">
        <v>1024</v>
      </c>
      <c r="D81" s="8">
        <v>17</v>
      </c>
      <c r="E81" s="8">
        <v>8</v>
      </c>
      <c r="F81" s="8" t="s">
        <v>14</v>
      </c>
      <c r="G81" s="9">
        <v>491520</v>
      </c>
      <c r="H81" s="30">
        <v>10321</v>
      </c>
      <c r="I81" s="9">
        <f t="shared" si="6"/>
        <v>481199</v>
      </c>
      <c r="J81" s="10">
        <f t="shared" si="7"/>
        <v>2.0998128255208335E-2</v>
      </c>
      <c r="K81" s="43">
        <f t="shared" si="8"/>
        <v>82.617152000000004</v>
      </c>
    </row>
    <row r="82" spans="1:11" ht="18" customHeight="1" x14ac:dyDescent="0.2">
      <c r="A82" s="8">
        <v>78</v>
      </c>
      <c r="B82" s="8" t="s">
        <v>17</v>
      </c>
      <c r="C82" s="8">
        <v>1024</v>
      </c>
      <c r="D82" s="8">
        <v>17</v>
      </c>
      <c r="E82" s="8">
        <v>8</v>
      </c>
      <c r="F82" s="8" t="s">
        <v>15</v>
      </c>
      <c r="G82" s="9">
        <v>491520</v>
      </c>
      <c r="H82" s="30">
        <v>10321</v>
      </c>
      <c r="I82" s="9">
        <f t="shared" si="6"/>
        <v>481199</v>
      </c>
      <c r="J82" s="10">
        <f t="shared" si="7"/>
        <v>2.0998128255208335E-2</v>
      </c>
      <c r="K82" s="43">
        <f t="shared" si="8"/>
        <v>82.617152000000004</v>
      </c>
    </row>
    <row r="83" spans="1:11" ht="18" customHeight="1" x14ac:dyDescent="0.2">
      <c r="A83" s="6">
        <v>79</v>
      </c>
      <c r="B83" s="6" t="s">
        <v>17</v>
      </c>
      <c r="C83" s="6">
        <v>1024</v>
      </c>
      <c r="D83" s="6">
        <v>17</v>
      </c>
      <c r="E83" s="6">
        <v>16</v>
      </c>
      <c r="F83" s="6" t="s">
        <v>13</v>
      </c>
      <c r="G83" s="3">
        <v>491520</v>
      </c>
      <c r="H83" s="29">
        <v>10965</v>
      </c>
      <c r="I83" s="3">
        <f t="shared" si="6"/>
        <v>480555</v>
      </c>
      <c r="J83" s="7">
        <f t="shared" si="7"/>
        <v>2.2308349609375E-2</v>
      </c>
      <c r="K83" s="43">
        <f t="shared" si="8"/>
        <v>87.769152000000005</v>
      </c>
    </row>
    <row r="84" spans="1:11" ht="18" customHeight="1" x14ac:dyDescent="0.2">
      <c r="A84" s="6">
        <v>80</v>
      </c>
      <c r="B84" s="6" t="s">
        <v>17</v>
      </c>
      <c r="C84" s="6">
        <v>1024</v>
      </c>
      <c r="D84" s="6">
        <v>17</v>
      </c>
      <c r="E84" s="6">
        <v>16</v>
      </c>
      <c r="F84" s="6" t="s">
        <v>14</v>
      </c>
      <c r="G84" s="3">
        <v>491520</v>
      </c>
      <c r="H84" s="29">
        <v>10321</v>
      </c>
      <c r="I84" s="3">
        <f t="shared" si="6"/>
        <v>481199</v>
      </c>
      <c r="J84" s="7">
        <f t="shared" si="7"/>
        <v>2.0998128255208335E-2</v>
      </c>
      <c r="K84" s="43">
        <f t="shared" si="8"/>
        <v>82.617152000000004</v>
      </c>
    </row>
    <row r="85" spans="1:11" ht="18" customHeight="1" x14ac:dyDescent="0.2">
      <c r="A85" s="6">
        <v>81</v>
      </c>
      <c r="B85" s="6" t="s">
        <v>17</v>
      </c>
      <c r="C85" s="6">
        <v>1024</v>
      </c>
      <c r="D85" s="6">
        <v>17</v>
      </c>
      <c r="E85" s="6">
        <v>16</v>
      </c>
      <c r="F85" s="6" t="s">
        <v>15</v>
      </c>
      <c r="G85" s="3">
        <v>491520</v>
      </c>
      <c r="H85" s="29">
        <v>10321</v>
      </c>
      <c r="I85" s="3">
        <f t="shared" si="6"/>
        <v>481199</v>
      </c>
      <c r="J85" s="7">
        <f t="shared" si="7"/>
        <v>2.0998128255208335E-2</v>
      </c>
      <c r="K85" s="43">
        <f t="shared" si="8"/>
        <v>82.617152000000004</v>
      </c>
    </row>
  </sheetData>
  <autoFilter ref="A4:K8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5"/>
  <sheetViews>
    <sheetView showGridLines="0" topLeftCell="A114" workbookViewId="0">
      <selection activeCell="D6" sqref="D6"/>
    </sheetView>
  </sheetViews>
  <sheetFormatPr baseColWidth="10" defaultColWidth="8.83203125" defaultRowHeight="15" x14ac:dyDescent="0.2"/>
  <cols>
    <col min="1" max="4" width="15" customWidth="1"/>
    <col min="5" max="5" width="3" customWidth="1"/>
  </cols>
  <sheetData>
    <row r="1" spans="1:4" ht="26" customHeight="1" x14ac:dyDescent="0.25">
      <c r="A1" s="4" t="s">
        <v>18</v>
      </c>
    </row>
    <row r="3" spans="1:4" ht="24" customHeight="1" x14ac:dyDescent="0.2">
      <c r="A3" s="37" t="s">
        <v>19</v>
      </c>
      <c r="B3" s="38" t="s">
        <v>12</v>
      </c>
      <c r="C3" s="39" t="s">
        <v>20</v>
      </c>
      <c r="D3" s="38">
        <v>64</v>
      </c>
    </row>
    <row r="4" spans="1:4" ht="22" customHeight="1" x14ac:dyDescent="0.2">
      <c r="A4" s="2" t="s">
        <v>6</v>
      </c>
      <c r="B4" s="2" t="s">
        <v>13</v>
      </c>
      <c r="C4" s="2" t="s">
        <v>14</v>
      </c>
      <c r="D4" s="2" t="s">
        <v>15</v>
      </c>
    </row>
    <row r="5" spans="1:4" ht="20" customHeight="1" x14ac:dyDescent="0.2">
      <c r="A5" s="40">
        <v>4</v>
      </c>
      <c r="B5" s="3">
        <f>Datos!H5</f>
        <v>2</v>
      </c>
      <c r="C5" s="3">
        <f>Datos!H6</f>
        <v>2</v>
      </c>
      <c r="D5" s="3">
        <f>Datos!H7</f>
        <v>2</v>
      </c>
    </row>
    <row r="6" spans="1:4" ht="20" customHeight="1" x14ac:dyDescent="0.2">
      <c r="A6" s="41">
        <v>8</v>
      </c>
      <c r="B6" s="42">
        <f>Datos!H8</f>
        <v>2</v>
      </c>
      <c r="C6" s="42">
        <f>Datos!H9</f>
        <v>2</v>
      </c>
      <c r="D6" s="42">
        <f>Datos!H10</f>
        <v>2</v>
      </c>
    </row>
    <row r="7" spans="1:4" ht="20" customHeight="1" x14ac:dyDescent="0.2">
      <c r="A7" s="40">
        <v>16</v>
      </c>
      <c r="B7" s="3">
        <f>Datos!H11</f>
        <v>2</v>
      </c>
      <c r="C7" s="3">
        <f>Datos!H12</f>
        <v>2</v>
      </c>
      <c r="D7" s="3">
        <f>Datos!H13</f>
        <v>2</v>
      </c>
    </row>
    <row r="19" spans="1:4" ht="24" customHeight="1" x14ac:dyDescent="0.2">
      <c r="A19" s="37" t="s">
        <v>19</v>
      </c>
      <c r="B19" s="38" t="s">
        <v>12</v>
      </c>
      <c r="C19" s="39" t="s">
        <v>20</v>
      </c>
      <c r="D19" s="38">
        <v>256</v>
      </c>
    </row>
    <row r="20" spans="1:4" ht="22" customHeight="1" x14ac:dyDescent="0.2">
      <c r="A20" s="2" t="s">
        <v>6</v>
      </c>
      <c r="B20" s="2" t="s">
        <v>13</v>
      </c>
      <c r="C20" s="2" t="s">
        <v>14</v>
      </c>
      <c r="D20" s="2" t="s">
        <v>15</v>
      </c>
    </row>
    <row r="21" spans="1:4" ht="20" customHeight="1" x14ac:dyDescent="0.2">
      <c r="A21" s="40">
        <v>4</v>
      </c>
      <c r="B21" s="3">
        <f>Datos!H14</f>
        <v>1</v>
      </c>
      <c r="C21" s="3">
        <f>Datos!H15</f>
        <v>1</v>
      </c>
      <c r="D21" s="3">
        <f>Datos!H16</f>
        <v>1</v>
      </c>
    </row>
    <row r="22" spans="1:4" ht="20" customHeight="1" x14ac:dyDescent="0.2">
      <c r="A22" s="41">
        <v>8</v>
      </c>
      <c r="B22" s="42">
        <f>Datos!H17</f>
        <v>1</v>
      </c>
      <c r="C22" s="42">
        <f>Datos!H18</f>
        <v>1</v>
      </c>
      <c r="D22" s="42">
        <f>Datos!H19</f>
        <v>1</v>
      </c>
    </row>
    <row r="23" spans="1:4" ht="20" customHeight="1" x14ac:dyDescent="0.2">
      <c r="A23" s="40">
        <v>16</v>
      </c>
      <c r="B23" s="3">
        <f>Datos!H20</f>
        <v>1</v>
      </c>
      <c r="C23" s="3">
        <f>Datos!H21</f>
        <v>1</v>
      </c>
      <c r="D23" s="3">
        <f>Datos!H22</f>
        <v>1</v>
      </c>
    </row>
    <row r="35" spans="1:4" ht="24" customHeight="1" x14ac:dyDescent="0.2">
      <c r="A35" s="37" t="s">
        <v>19</v>
      </c>
      <c r="B35" s="38" t="s">
        <v>12</v>
      </c>
      <c r="C35" s="39" t="s">
        <v>20</v>
      </c>
      <c r="D35" s="38">
        <v>1024</v>
      </c>
    </row>
    <row r="36" spans="1:4" ht="22" customHeight="1" x14ac:dyDescent="0.2">
      <c r="A36" s="2" t="s">
        <v>6</v>
      </c>
      <c r="B36" s="2" t="s">
        <v>13</v>
      </c>
      <c r="C36" s="2" t="s">
        <v>14</v>
      </c>
      <c r="D36" s="2" t="s">
        <v>15</v>
      </c>
    </row>
    <row r="37" spans="1:4" ht="20" customHeight="1" x14ac:dyDescent="0.2">
      <c r="A37" s="40">
        <v>4</v>
      </c>
      <c r="B37" s="3">
        <f>Datos!H23</f>
        <v>1</v>
      </c>
      <c r="C37" s="3">
        <f>Datos!H24</f>
        <v>1</v>
      </c>
      <c r="D37" s="3">
        <f>Datos!H25</f>
        <v>1</v>
      </c>
    </row>
    <row r="38" spans="1:4" ht="20" customHeight="1" x14ac:dyDescent="0.2">
      <c r="A38" s="41">
        <v>8</v>
      </c>
      <c r="B38" s="42">
        <f>Datos!H26</f>
        <v>1</v>
      </c>
      <c r="C38" s="42">
        <f>Datos!H27</f>
        <v>1</v>
      </c>
      <c r="D38" s="42">
        <f>Datos!H28</f>
        <v>1</v>
      </c>
    </row>
    <row r="39" spans="1:4" ht="20" customHeight="1" x14ac:dyDescent="0.2">
      <c r="A39" s="40">
        <v>16</v>
      </c>
      <c r="B39" s="3">
        <f>Datos!H29</f>
        <v>1</v>
      </c>
      <c r="C39" s="3">
        <f>Datos!H30</f>
        <v>1</v>
      </c>
      <c r="D39" s="3">
        <f>Datos!H31</f>
        <v>1</v>
      </c>
    </row>
    <row r="51" spans="1:4" ht="24" customHeight="1" x14ac:dyDescent="0.2">
      <c r="A51" s="37" t="s">
        <v>19</v>
      </c>
      <c r="B51" s="38" t="s">
        <v>16</v>
      </c>
      <c r="C51" s="39" t="s">
        <v>20</v>
      </c>
      <c r="D51" s="38">
        <v>64</v>
      </c>
    </row>
    <row r="52" spans="1:4" ht="22" customHeight="1" x14ac:dyDescent="0.2">
      <c r="A52" s="2" t="s">
        <v>6</v>
      </c>
      <c r="B52" s="2" t="s">
        <v>13</v>
      </c>
      <c r="C52" s="2" t="s">
        <v>14</v>
      </c>
      <c r="D52" s="2" t="s">
        <v>15</v>
      </c>
    </row>
    <row r="53" spans="1:4" ht="20" customHeight="1" x14ac:dyDescent="0.2">
      <c r="A53" s="40">
        <v>4</v>
      </c>
      <c r="B53" s="3">
        <f>Datos!H32</f>
        <v>425</v>
      </c>
      <c r="C53" s="3">
        <f>Datos!H33</f>
        <v>341</v>
      </c>
      <c r="D53" s="3">
        <f>Datos!H34</f>
        <v>341</v>
      </c>
    </row>
    <row r="54" spans="1:4" ht="20" customHeight="1" x14ac:dyDescent="0.2">
      <c r="A54" s="41">
        <v>8</v>
      </c>
      <c r="B54" s="42">
        <f>Datos!H35</f>
        <v>5</v>
      </c>
      <c r="C54" s="42">
        <f>Datos!H36</f>
        <v>5</v>
      </c>
      <c r="D54" s="42">
        <f>Datos!H37</f>
        <v>5</v>
      </c>
    </row>
    <row r="55" spans="1:4" ht="20" customHeight="1" x14ac:dyDescent="0.2">
      <c r="A55" s="40">
        <v>16</v>
      </c>
      <c r="B55" s="3">
        <f>Datos!H38</f>
        <v>5</v>
      </c>
      <c r="C55" s="3">
        <f>Datos!H39</f>
        <v>5</v>
      </c>
      <c r="D55" s="3">
        <f>Datos!H40</f>
        <v>5</v>
      </c>
    </row>
    <row r="67" spans="1:4" ht="24" customHeight="1" x14ac:dyDescent="0.2">
      <c r="A67" s="37" t="s">
        <v>19</v>
      </c>
      <c r="B67" s="38" t="s">
        <v>16</v>
      </c>
      <c r="C67" s="39" t="s">
        <v>20</v>
      </c>
      <c r="D67" s="38">
        <v>256</v>
      </c>
    </row>
    <row r="68" spans="1:4" ht="22" customHeight="1" x14ac:dyDescent="0.2">
      <c r="A68" s="2" t="s">
        <v>6</v>
      </c>
      <c r="B68" s="2" t="s">
        <v>13</v>
      </c>
      <c r="C68" s="2" t="s">
        <v>14</v>
      </c>
      <c r="D68" s="2" t="s">
        <v>15</v>
      </c>
    </row>
    <row r="69" spans="1:4" ht="20" customHeight="1" x14ac:dyDescent="0.2">
      <c r="A69" s="40">
        <v>4</v>
      </c>
      <c r="B69" s="3">
        <f>Datos!H41</f>
        <v>2</v>
      </c>
      <c r="C69" s="3">
        <f>Datos!H42</f>
        <v>2</v>
      </c>
      <c r="D69" s="3">
        <f>Datos!H43</f>
        <v>2</v>
      </c>
    </row>
    <row r="70" spans="1:4" ht="20" customHeight="1" x14ac:dyDescent="0.2">
      <c r="A70" s="41">
        <v>8</v>
      </c>
      <c r="B70" s="42">
        <f>Datos!H44</f>
        <v>2</v>
      </c>
      <c r="C70" s="42">
        <f>Datos!H45</f>
        <v>2</v>
      </c>
      <c r="D70" s="42">
        <f>Datos!H46</f>
        <v>2</v>
      </c>
    </row>
    <row r="71" spans="1:4" ht="20" customHeight="1" x14ac:dyDescent="0.2">
      <c r="A71" s="40">
        <v>16</v>
      </c>
      <c r="B71" s="3">
        <f>Datos!H47</f>
        <v>2</v>
      </c>
      <c r="C71" s="3">
        <f>Datos!H48</f>
        <v>2</v>
      </c>
      <c r="D71" s="3">
        <f>Datos!H49</f>
        <v>2</v>
      </c>
    </row>
    <row r="83" spans="1:4" ht="24" customHeight="1" x14ac:dyDescent="0.2">
      <c r="A83" s="37" t="s">
        <v>19</v>
      </c>
      <c r="B83" s="38" t="s">
        <v>16</v>
      </c>
      <c r="C83" s="39" t="s">
        <v>20</v>
      </c>
      <c r="D83" s="38">
        <v>1024</v>
      </c>
    </row>
    <row r="84" spans="1:4" ht="22" customHeight="1" x14ac:dyDescent="0.2">
      <c r="A84" s="2" t="s">
        <v>6</v>
      </c>
      <c r="B84" s="2" t="s">
        <v>13</v>
      </c>
      <c r="C84" s="2" t="s">
        <v>14</v>
      </c>
      <c r="D84" s="2" t="s">
        <v>15</v>
      </c>
    </row>
    <row r="85" spans="1:4" ht="20" customHeight="1" x14ac:dyDescent="0.2">
      <c r="A85" s="40">
        <v>4</v>
      </c>
      <c r="B85" s="3">
        <f>Datos!H50</f>
        <v>1</v>
      </c>
      <c r="C85" s="3">
        <f>Datos!H51</f>
        <v>1</v>
      </c>
      <c r="D85" s="3">
        <f>Datos!H52</f>
        <v>1</v>
      </c>
    </row>
    <row r="86" spans="1:4" ht="20" customHeight="1" x14ac:dyDescent="0.2">
      <c r="A86" s="41">
        <v>8</v>
      </c>
      <c r="B86" s="42">
        <f>Datos!H53</f>
        <v>1</v>
      </c>
      <c r="C86" s="42">
        <f>Datos!H54</f>
        <v>1</v>
      </c>
      <c r="D86" s="42">
        <f>Datos!H55</f>
        <v>1</v>
      </c>
    </row>
    <row r="87" spans="1:4" ht="20" customHeight="1" x14ac:dyDescent="0.2">
      <c r="A87" s="40">
        <v>16</v>
      </c>
      <c r="B87" s="3">
        <f>Datos!H56</f>
        <v>1</v>
      </c>
      <c r="C87" s="3">
        <f>Datos!H57</f>
        <v>1</v>
      </c>
      <c r="D87" s="3">
        <f>Datos!H58</f>
        <v>1</v>
      </c>
    </row>
    <row r="99" spans="1:4" ht="24" customHeight="1" x14ac:dyDescent="0.2">
      <c r="A99" s="37" t="s">
        <v>19</v>
      </c>
      <c r="B99" s="38" t="s">
        <v>17</v>
      </c>
      <c r="C99" s="39" t="s">
        <v>20</v>
      </c>
      <c r="D99" s="38">
        <v>64</v>
      </c>
    </row>
    <row r="100" spans="1:4" ht="22" customHeight="1" x14ac:dyDescent="0.2">
      <c r="A100" s="2" t="s">
        <v>6</v>
      </c>
      <c r="B100" s="2" t="s">
        <v>13</v>
      </c>
      <c r="C100" s="2" t="s">
        <v>14</v>
      </c>
      <c r="D100" s="2" t="s">
        <v>15</v>
      </c>
    </row>
    <row r="101" spans="1:4" ht="20" customHeight="1" x14ac:dyDescent="0.2">
      <c r="A101" s="40">
        <v>4</v>
      </c>
      <c r="B101" s="3">
        <f>Datos!H59</f>
        <v>104320</v>
      </c>
      <c r="C101" s="3">
        <f>Datos!H60</f>
        <v>85760</v>
      </c>
      <c r="D101" s="3">
        <f>Datos!H61</f>
        <v>85760</v>
      </c>
    </row>
    <row r="102" spans="1:4" ht="20" customHeight="1" x14ac:dyDescent="0.2">
      <c r="A102" s="41">
        <v>8</v>
      </c>
      <c r="B102" s="42">
        <f>Datos!H62</f>
        <v>93760</v>
      </c>
      <c r="C102" s="42">
        <f>Datos!H63</f>
        <v>84481</v>
      </c>
      <c r="D102" s="42">
        <f>Datos!H64</f>
        <v>84481</v>
      </c>
    </row>
    <row r="103" spans="1:4" ht="20" customHeight="1" x14ac:dyDescent="0.2">
      <c r="A103" s="40">
        <v>16</v>
      </c>
      <c r="B103" s="3">
        <f>Datos!H65</f>
        <v>88480</v>
      </c>
      <c r="C103" s="3">
        <f>Datos!H66</f>
        <v>84481</v>
      </c>
      <c r="D103" s="3">
        <f>Datos!H67</f>
        <v>84481</v>
      </c>
    </row>
    <row r="115" spans="1:4" ht="24" customHeight="1" x14ac:dyDescent="0.2">
      <c r="A115" s="37" t="s">
        <v>19</v>
      </c>
      <c r="B115" s="38" t="s">
        <v>17</v>
      </c>
      <c r="C115" s="39" t="s">
        <v>20</v>
      </c>
      <c r="D115" s="38">
        <v>256</v>
      </c>
    </row>
    <row r="116" spans="1:4" ht="22" customHeight="1" x14ac:dyDescent="0.2">
      <c r="A116" s="2" t="s">
        <v>6</v>
      </c>
      <c r="B116" s="2" t="s">
        <v>13</v>
      </c>
      <c r="C116" s="2" t="s">
        <v>14</v>
      </c>
      <c r="D116" s="2" t="s">
        <v>15</v>
      </c>
    </row>
    <row r="117" spans="1:4" ht="20" customHeight="1" x14ac:dyDescent="0.2">
      <c r="A117" s="40">
        <v>4</v>
      </c>
      <c r="B117" s="3">
        <f>Datos!H68</f>
        <v>51600</v>
      </c>
      <c r="C117" s="3">
        <f>Datos!H69</f>
        <v>41281</v>
      </c>
      <c r="D117" s="3">
        <f>Datos!H70</f>
        <v>41281</v>
      </c>
    </row>
    <row r="118" spans="1:4" ht="20" customHeight="1" x14ac:dyDescent="0.2">
      <c r="A118" s="41">
        <v>8</v>
      </c>
      <c r="B118" s="42">
        <f>Datos!H71</f>
        <v>46440</v>
      </c>
      <c r="C118" s="42">
        <f>Datos!H72</f>
        <v>41281</v>
      </c>
      <c r="D118" s="42">
        <f>Datos!H73</f>
        <v>41281</v>
      </c>
    </row>
    <row r="119" spans="1:4" ht="20" customHeight="1" x14ac:dyDescent="0.2">
      <c r="A119" s="40">
        <v>16</v>
      </c>
      <c r="B119" s="3">
        <f>Datos!H74</f>
        <v>43860</v>
      </c>
      <c r="C119" s="3">
        <f>Datos!H75</f>
        <v>41281</v>
      </c>
      <c r="D119" s="3">
        <f>Datos!H76</f>
        <v>41281</v>
      </c>
    </row>
    <row r="131" spans="1:4" ht="24" customHeight="1" x14ac:dyDescent="0.2">
      <c r="A131" s="37" t="s">
        <v>19</v>
      </c>
      <c r="B131" s="38" t="s">
        <v>17</v>
      </c>
      <c r="C131" s="39" t="s">
        <v>20</v>
      </c>
      <c r="D131" s="38">
        <v>1024</v>
      </c>
    </row>
    <row r="132" spans="1:4" ht="22" customHeight="1" x14ac:dyDescent="0.2">
      <c r="A132" s="2" t="s">
        <v>6</v>
      </c>
      <c r="B132" s="2" t="s">
        <v>13</v>
      </c>
      <c r="C132" s="2" t="s">
        <v>14</v>
      </c>
      <c r="D132" s="2" t="s">
        <v>15</v>
      </c>
    </row>
    <row r="133" spans="1:4" ht="20" customHeight="1" x14ac:dyDescent="0.2">
      <c r="A133" s="40">
        <v>4</v>
      </c>
      <c r="B133" s="3">
        <f>Datos!H77</f>
        <v>12900</v>
      </c>
      <c r="C133" s="3">
        <f>Datos!H78</f>
        <v>10321</v>
      </c>
      <c r="D133" s="3">
        <f>Datos!H79</f>
        <v>10321</v>
      </c>
    </row>
    <row r="134" spans="1:4" ht="20" customHeight="1" x14ac:dyDescent="0.2">
      <c r="A134" s="41">
        <v>8</v>
      </c>
      <c r="B134" s="42">
        <f>Datos!H80</f>
        <v>11610</v>
      </c>
      <c r="C134" s="42">
        <f>Datos!H81</f>
        <v>10321</v>
      </c>
      <c r="D134" s="42">
        <f>Datos!H82</f>
        <v>10321</v>
      </c>
    </row>
    <row r="135" spans="1:4" ht="20" customHeight="1" x14ac:dyDescent="0.2">
      <c r="A135" s="40">
        <v>16</v>
      </c>
      <c r="B135" s="3">
        <f>Datos!H83</f>
        <v>10965</v>
      </c>
      <c r="C135" s="3">
        <f>Datos!H84</f>
        <v>10321</v>
      </c>
      <c r="D135" s="3">
        <f>Datos!H85</f>
        <v>10321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Caso 2 - Resultados</dc:title>
  <dc:creator>Sergio Santana</dc:creator>
  <cp:lastModifiedBy>Sergio Andres Santana Carvajal</cp:lastModifiedBy>
  <dcterms:created xsi:type="dcterms:W3CDTF">2026-10-04T02:14:55Z</dcterms:created>
  <dcterms:modified xsi:type="dcterms:W3CDTF">2026-10-06T03:35:59Z</dcterms:modified>
</cp:coreProperties>
</file>